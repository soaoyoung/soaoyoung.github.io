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85eb01e88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반입총괄" sheetId="1" r:id="Re7704137a8594b5d"/>
    <x:sheet xmlns:r="http://schemas.openxmlformats.org/officeDocument/2006/relationships" name="자재수불부" sheetId="2" r:id="R2b3f988a47cd41d4"/>
    <x:sheet xmlns:r="http://schemas.openxmlformats.org/officeDocument/2006/relationships" name="원자료·매핑" sheetId="3" r:id="R42da732ad2d4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&quot;WD &quot;0"/>
    <x:numFmt numFmtId="203" formatCode="0%"/>
  </x:numFmts>
  <x:fonts count="17">
    <x:font>
      <x:sz val="11"/>
      <x:name val="Carlito"/>
    </x:font>
    <x:font>
      <x:sz val="10"/>
      <x:color rgb="FF213C30"/>
      <x:name val="Arial"/>
    </x:font>
    <x:font>
      <x:b/>
      <x:sz val="16"/>
      <x:color rgb="FF245F49"/>
      <x:name val="Arial"/>
    </x:font>
    <x:font>
      <x:sz val="10"/>
      <x:color rgb="FF607568"/>
      <x:name val="Arial"/>
    </x:font>
    <x:font>
      <x:b/>
      <x:sz val="10"/>
      <x:color rgb="FFFFFFFF"/>
      <x:name val="Arial"/>
    </x:font>
    <x:font>
      <x:sz val="10"/>
      <x:color rgb="FF175A91"/>
      <x:name val="Arial"/>
    </x:font>
    <x:font>
      <x:b/>
      <x:sz val="16"/>
      <x:color rgb="FF202923"/>
      <x:name val="Arial"/>
    </x:font>
    <x:font>
      <x:b/>
      <x:sz val="10"/>
      <x:color rgb="FF151515"/>
      <x:name val="Arial"/>
    </x:font>
    <x:font>
      <x:b/>
      <x:sz val="15"/>
      <x:color rgb="FF1D241F"/>
      <x:name val="Arial"/>
    </x:font>
    <x:font>
      <x:b/>
      <x:sz val="11"/>
      <x:color rgb="FF213C30"/>
      <x:name val="Arial"/>
    </x:font>
    <x:font>
      <x:b/>
      <x:sz val="10"/>
      <x:color rgb="FF213C30"/>
      <x:name val="Arial"/>
    </x:font>
    <x:font>
      <x:b/>
      <x:sz val="10"/>
      <x:color rgb="FF175A91"/>
      <x:name val="Arial"/>
    </x:font>
    <x:font>
      <x:sz val="10"/>
      <x:color rgb="FF213C30"/>
      <x:name val="Malgun Gothic"/>
    </x:font>
    <x:font>
      <x:b/>
      <x:sz val="10"/>
      <x:color rgb="FFFFFFFF"/>
      <x:name val="Malgun Gothic"/>
    </x:font>
    <x:font>
      <x:sz val="10"/>
      <x:color rgb="FF175A91"/>
      <x:name val="Malgun Gothic"/>
    </x:font>
    <x:font>
      <x:b/>
      <x:sz val="10"/>
      <x:color rgb="FF245F49"/>
      <x:name val="Malgun Gothic"/>
    </x:font>
    <x:font>
      <x:b/>
      <x:sz val="11"/>
      <x:color rgb="FF245F49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245F49"/>
      </x:patternFill>
    </x:fill>
    <x:fill>
      <x:patternFill patternType="solid">
        <x:fgColor rgb="FFF2F7FA"/>
      </x:patternFill>
    </x:fill>
    <x:fill>
      <x:patternFill patternType="solid">
        <x:fgColor rgb="FFFFF2CF"/>
      </x:patternFill>
    </x:fill>
    <x:fill>
      <x:patternFill patternType="solid">
        <x:fgColor rgb="FFCECECE"/>
      </x:patternFill>
    </x:fill>
    <x:fill>
      <x:patternFill patternType="solid">
        <x:fgColor rgb="FFF4F4F1"/>
      </x:patternFill>
    </x:fill>
    <x:fill>
      <x:patternFill patternType="solid">
        <x:fgColor rgb="FFFFF7DD"/>
      </x:patternFill>
    </x:fill>
    <x:fill>
      <x:patternFill patternType="solid">
        <x:fgColor rgb="FFE9ECE9"/>
      </x:patternFill>
    </x:fill>
    <x:fill>
      <x:patternFill patternType="solid">
        <x:fgColor rgb="FFFFF2CF"/>
      </x:patternFill>
    </x:fill>
    <x:fill>
      <x:patternFill patternType="solid">
        <x:fgColor rgb="FF245F49"/>
      </x:patternFill>
    </x:fill>
    <x:fill>
      <x:patternFill patternType="solid">
        <x:fgColor rgb="FFF2F7FA"/>
      </x:patternFill>
    </x:fill>
    <x:fill>
      <x:patternFill patternType="solid">
        <x:fgColor rgb="FFEAF3EC"/>
      </x:patternFill>
    </x:fill>
    <x:fill>
      <x:patternFill patternType="solid">
        <x:fgColor rgb="FFFFFFFF"/>
      </x:patternFill>
    </x:fill>
    <x:fill>
      <x:patternFill patternType="solid">
        <x:fgColor rgb="FFFFF7DD"/>
      </x:patternFill>
    </x:fill>
    <x:fill>
      <x:patternFill patternType="solid">
        <x:fgColor rgb="FFF4F4F1"/>
      </x:patternFill>
    </x:fill>
  </x:fills>
  <x:borders count="2">
    <x:border>
      <x:left/>
      <x:right/>
      <x:top/>
      <x:bottom/>
      <x:diagonal/>
    </x:border>
    <x:border>
      <x:left style="thin">
        <x:color rgb="FF383C39"/>
      </x:left>
      <x:right style="thin">
        <x:color rgb="FF383C39"/>
      </x:right>
      <x:top style="thin">
        <x:color rgb="FF383C39"/>
      </x:top>
      <x:bottom style="thin">
        <x:color rgb="FF383C39"/>
      </x:bottom>
      <x:diagonal/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2" fontId="1" fillId="3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6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horizontal="center" vertical="center" wrapText="1"/>
    </x:xf>
    <x:xf numFmtId="201" fontId="10" fillId="8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6" borderId="1" xfId="0" applyNumberFormat="1" applyFont="1" applyFill="1" applyBorder="1" applyAlignment="1">
      <x:alignment vertical="center"/>
    </x:xf>
    <x:xf numFmtId="201" fontId="1" fillId="7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horizontal="center" vertical="center"/>
    </x:xf>
    <x:xf numFmtId="201" fontId="1" fillId="7" borderId="1" xfId="0" applyNumberFormat="1" applyFont="1" applyFill="1" applyBorder="1" applyAlignment="1">
      <x:alignment horizontal="center" vertical="center"/>
    </x:xf>
    <x:xf numFmtId="0" fontId="1" fillId="7" borderId="1" xfId="0" applyNumberFormat="1" applyFont="1" applyFill="1" applyBorder="1" applyAlignment="1">
      <x:alignment horizontal="center" vertical="center"/>
    </x:xf>
    <x:xf numFmtId="202" fontId="1" fillId="6" borderId="1" xfId="0" applyNumberFormat="1" applyFont="1" applyFill="1" applyBorder="1" applyAlignment="1">
      <x:alignment horizontal="center" vertical="center"/>
    </x:xf>
    <x:xf numFmtId="201" fontId="1" fillId="6" borderId="1" xfId="0" applyNumberFormat="1" applyFont="1" applyFill="1" applyBorder="1" applyAlignment="1">
      <x:alignment horizontal="center" vertical="center"/>
    </x:xf>
    <x:xf numFmtId="0" fontId="10" fillId="8" borderId="1" xfId="0" applyNumberFormat="1" applyFont="1" applyFill="1" applyBorder="1" applyAlignment="1">
      <x:alignment horizontal="center" vertical="center"/>
    </x:xf>
    <x:xf numFmtId="201" fontId="10" fillId="8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horizontal="center" vertical="center"/>
    </x:xf>
    <x:xf numFmtId="202" fontId="11" fillId="9" borderId="0" xfId="0" applyNumberFormat="1" applyFont="1" applyFill="1" applyBorder="1" applyAlignment="1">
      <x:alignment horizontal="center" vertical="center"/>
    </x:xf>
    <x:xf numFmtId="202" fontId="11" fillId="9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 wrapText="1"/>
    </x:xf>
    <x:xf numFmtId="202" fontId="12" fillId="0" borderId="0" xfId="0" applyNumberFormat="1" applyFont="1" applyFill="1" applyBorder="1" applyAlignment="1">
      <x:alignment vertical="center" wrapText="1"/>
    </x:xf>
    <x:xf numFmtId="202" fontId="14" fillId="9" borderId="0" xfId="0" applyNumberFormat="1" applyFont="1" applyFill="1" applyBorder="1" applyAlignment="1">
      <x:alignment vertical="center" wrapText="1"/>
    </x:xf>
    <x:xf numFmtId="203" fontId="12" fillId="11" borderId="0" xfId="0" applyNumberFormat="1" applyFont="1" applyFill="1" applyBorder="1" applyAlignment="1">
      <x:alignment vertical="center" wrapText="1"/>
    </x:xf>
    <x:xf numFmtId="203" fontId="12" fillId="0" borderId="0" xfId="0" applyNumberFormat="1" applyFont="1" applyFill="1" applyBorder="1" applyAlignment="1">
      <x:alignment vertical="center" wrapText="1"/>
    </x:xf>
    <x:xf numFmtId="201" fontId="12" fillId="11" borderId="0" xfId="0" applyNumberFormat="1" applyFont="1" applyFill="1" applyBorder="1" applyAlignment="1">
      <x:alignment vertical="center" wrapText="1"/>
    </x:xf>
    <x:xf numFmtId="201" fontId="12" fillId="0" borderId="0" xfId="0" applyNumberFormat="1" applyFont="1" applyFill="1" applyBorder="1" applyAlignment="1">
      <x:alignment vertical="center" wrapText="1"/>
    </x:xf>
    <x:xf numFmtId="201" fontId="12" fillId="11" borderId="0" xfId="0" applyNumberFormat="1" applyFont="1" applyFill="1" applyBorder="1" applyAlignment="1">
      <x:alignment horizontal="right" vertical="center" wrapText="1"/>
    </x:xf>
    <x:xf numFmtId="201" fontId="12" fillId="0" borderId="0" xfId="0" applyNumberFormat="1" applyFont="1" applyFill="1" applyBorder="1" applyAlignment="1">
      <x:alignment horizontal="right" vertical="center" wrapText="1"/>
    </x:xf>
    <x:xf numFmtId="201" fontId="12" fillId="12" borderId="0" xfId="0" applyNumberFormat="1" applyFont="1" applyFill="1" applyBorder="1" applyAlignment="1">
      <x:alignment vertical="center" wrapText="1"/>
    </x:xf>
    <x:xf numFmtId="201" fontId="15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/>
    </x:xf>
    <x:xf numFmtId="0" fontId="16" fillId="12" borderId="0" xfId="0" applyNumberFormat="1" applyFont="1" applyFill="1" applyBorder="1" applyAlignment="1">
      <x:alignment vertical="center"/>
    </x:xf>
    <x:xf numFmtId="202" fontId="1" fillId="13" borderId="1" xfId="0" applyNumberFormat="1" applyFont="1" applyFill="1" applyBorder="1" applyAlignment="1">
      <x:alignment horizontal="center" vertical="center"/>
    </x:xf>
    <x:xf numFmtId="201" fontId="1" fillId="13" borderId="1" xfId="0" applyNumberFormat="1" applyFont="1" applyFill="1" applyBorder="1" applyAlignment="1">
      <x:alignment horizontal="center" vertical="center"/>
    </x:xf>
    <x:xf numFmtId="0" fontId="1" fillId="13" borderId="1" xfId="0" applyNumberFormat="1" applyFont="1" applyFill="1" applyBorder="1" applyAlignment="1">
      <x:alignment horizontal="center" vertical="center"/>
    </x:xf>
    <x:xf numFmtId="0" fontId="1" fillId="13" borderId="1" xfId="0" applyNumberFormat="1" applyFont="1" applyFill="1" applyBorder="1" applyAlignment="1">
      <x:alignment vertical="center" wrapText="1"/>
    </x:xf>
    <x:xf numFmtId="201" fontId="1" fillId="14" borderId="1" xfId="0" applyNumberFormat="1" applyFont="1" applyFill="1" applyBorder="1" applyAlignment="1">
      <x:alignment horizontal="center" vertical="center"/>
    </x:xf>
    <x:xf numFmtId="0" fontId="1" fillId="14" borderId="1" xfId="0" applyNumberFormat="1" applyFont="1" applyFill="1" applyBorder="1" applyAlignment="1">
      <x:alignment horizontal="center" vertical="center"/>
    </x:xf>
    <x:xf numFmtId="202" fontId="1" fillId="15" borderId="1" xfId="0" applyNumberFormat="1" applyFont="1" applyFill="1" applyBorder="1" applyAlignment="1">
      <x:alignment horizontal="center" vertical="center"/>
    </x:xf>
    <x:xf numFmtId="201" fontId="1" fillId="15" borderId="1" xfId="0" applyNumberFormat="1" applyFont="1" applyFill="1" applyBorder="1" applyAlignment="1">
      <x:alignment horizontal="center" vertical="center"/>
    </x:xf>
    <x:xf numFmtId="0" fontId="1" fillId="15" borderId="1" xfId="0" applyNumberFormat="1" applyFont="1" applyFill="1" applyBorder="1" applyAlignment="1">
      <x:alignment horizontal="center" vertical="center"/>
    </x:xf>
    <x:xf numFmtId="0" fontId="1" fillId="1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color rgb="FFA51515"/>
      </x:font>
      <x:fill>
        <x:patternFill>
          <x:bgColor rgb="FFFFDCDC"/>
        </x:patternFill>
      </x:fill>
    </x:dxf>
    <x:dxf>
      <x:font>
        <x:color rgb="FFA51515"/>
      </x:font>
      <x:fill>
        <x:patternFill>
          <x:bgColor rgb="FFFFDCDC"/>
        </x:patternFill>
      </x:fill>
    </x:dxf>
    <x:dxf>
      <x:font>
        <x:color rgb="FFA51515"/>
      </x:font>
      <x:fill>
        <x:patternFill>
          <x:bgColor rgb="FFFFDCDC"/>
        </x:patternFill>
      </x:fill>
    </x:dxf>
    <x:dxf>
      <x:font>
        <x:color rgb="FFA51515"/>
      </x:font>
      <x:fill>
        <x:patternFill>
          <x:bgColor rgb="FFFFDCDC"/>
        </x:patternFill>
      </x:fill>
    </x:dxf>
    <x:dxf>
      <x:font>
        <x:color rgb="FFA51515"/>
      </x:font>
      <x:fill>
        <x:patternFill>
          <x:bgColor rgb="FFFFDCDC"/>
        </x:patternFill>
      </x:fill>
    </x:dxf>
    <x:dxf>
      <x:font>
        <x:color rgb="FFA51515"/>
      </x:font>
      <x:fill>
        <x:patternFill>
          <x:bgColor rgb="FFFFDCDC"/>
        </x:patternFill>
      </x:fill>
    </x:dxf>
    <x:dxf>
      <x:font>
        <x:color rgb="FFA51515"/>
      </x:font>
      <x:fill>
        <x:patternFill>
          <x:bgColor rgb="FFFFDCDC"/>
        </x:patternFill>
      </x:fill>
    </x:dxf>
    <x:dxf>
      <x:font>
        <x:color rgb="FFA51515"/>
      </x:font>
      <x:fill>
        <x:patternFill>
          <x:bgColor rgb="FFFFDCDC"/>
        </x:patternFill>
      </x:fill>
    </x:dxf>
    <x:dxf>
      <x:font>
        <x:color rgb="FFA51515"/>
      </x:font>
      <x:fill>
        <x:patternFill>
          <x:bgColor rgb="FFFFDCDC"/>
        </x:patternFill>
      </x:fill>
    </x:dxf>
    <x:dxf>
      <x:font>
        <x:color rgb="FFA51515"/>
      </x:font>
      <x:fill>
        <x:patternFill>
          <x:bgColor rgb="FFFFDCDC"/>
        </x:patternFill>
      </x:fill>
    </x:dxf>
    <x:dxf>
      <x:font>
        <x:color rgb="FFA51515"/>
      </x:font>
      <x:fill>
        <x:patternFill>
          <x:bgColor rgb="FFFFDCDC"/>
        </x:patternFill>
      </x:fill>
    </x:dxf>
    <x:dxf>
      <x:font>
        <x:color rgb="FFA51515"/>
      </x:font>
      <x:fill>
        <x:patternFill>
          <x:bgColor rgb="FFFFDC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a4414896f4628" /><Relationship Type="http://schemas.openxmlformats.org/officeDocument/2006/relationships/theme" Target="/xl/theme/theme1.xml" Id="R7f5a9f899d5b4dc5" /><Relationship Type="http://schemas.openxmlformats.org/officeDocument/2006/relationships/sharedStrings" Target="/xl/sharedStrings.xml" Id="R79dac7c608194927" /><Relationship Type="http://schemas.openxmlformats.org/officeDocument/2006/relationships/worksheet" Target="/xl/worksheets/sheet1.xml" Id="Re7704137a8594b5d" /><Relationship Type="http://schemas.openxmlformats.org/officeDocument/2006/relationships/worksheet" Target="/xl/worksheets/sheet2.xml" Id="R2b3f988a47cd41d4" /><Relationship Type="http://schemas.openxmlformats.org/officeDocument/2006/relationships/worksheet" Target="/xl/worksheets/sheet3.xml" Id="R42da732ad2d440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8877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1.25" hidden="0" customWidth="1"/>
    <x:col min="2" max="2" width="15" hidden="0" customWidth="1"/>
    <x:col min="3" max="3" width="22.25" hidden="0" customWidth="1"/>
    <x:col min="4" max="4" width="28.75" hidden="0" customWidth="1"/>
    <x:col min="5" max="5" width="6.25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4" hidden="0" customWidth="1"/>
    <x:col min="11" max="11" width="10.5" hidden="0" customWidth="1"/>
    <x:col min="12" max="12" width="10.5" hidden="0" customWidth="1"/>
    <x:col min="13" max="13" width="21.25" hidden="0" customWidth="1"/>
    <x:col min="14" max="14" width="14.130000114440918" hidden="0" customWidth="1"/>
    <x:col min="15" max="15" width="14.130000114440918" hidden="0" customWidth="1"/>
    <x:col min="16" max="16" width="14.130000114440918" hidden="0" customWidth="1"/>
    <x:col min="17" max="17" width="14.13000011444091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6" customHeight="1">
      <x:c r="A2" s="32" t="str">
        <x:v>113·112·104·105동 주요자재 반입계획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8" customHeight="1">
      <x:c r="A3" s="5" t="str">
        <x:f>"가상 진행 WD "&amp;'원자료·매핑'!$B$15&amp;" 기준. 총계획량 유지. 추가 야적 5곳을 반영한 초기 반입·사용 시나리오."</x:f>
        <x:v>가상 진행 WD 10 기준. 총계획량 유지. 추가 야적 5곳을 반영한 초기 반입·사용 시나리오.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8" customHeight="1">
      <x:c r="A4" s="5" t="str">
        <x:v>104동 철근·거푸집 일부 사용, 105동 철근 일부 사용. 선반입분과 미사용분은 야적. 검사·서명은 미확인 공란 유지.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36" t="str">
        <x:v>자재군</x:v>
      </x:c>
      <x:c r="B6" s="36" t="str">
        <x:v>품목</x:v>
      </x:c>
      <x:c r="C6" s="36" t="str">
        <x:v>등록 규격</x:v>
      </x:c>
      <x:c r="D6" s="36" t="str">
        <x:v>원자료 규격</x:v>
      </x:c>
      <x:c r="E6" s="36" t="str">
        <x:v>단위</x:v>
      </x:c>
      <x:c r="F6" s="36" t="str">
        <x:v>113동</x:v>
      </x:c>
      <x:c r="G6" s="36" t="str">
        <x:v>112동</x:v>
      </x:c>
      <x:c r="H6" s="36" t="str">
        <x:v>104동</x:v>
      </x:c>
      <x:c r="I6" s="36" t="str">
        <x:v>105동</x:v>
      </x:c>
      <x:c r="J6" s="36" t="str">
        <x:v>반입 계획 합계</x:v>
      </x:c>
      <x:c r="K6" s="36" t="str">
        <x:v>첫 반입 WD</x:v>
      </x:c>
      <x:c r="L6" s="36" t="str">
        <x:v>최종 반입 WD</x:v>
      </x:c>
      <x:c r="M6" s="36" t="str">
        <x:v>산정 범위</x:v>
      </x:c>
      <x:c r="N6" s="77" t="str">
        <x:v>기반입량(가상)</x:v>
      </x:c>
      <x:c r="O6" s="77" t="str">
        <x:v>기불출량(가상)</x:v>
      </x:c>
      <x:c r="P6" s="77" t="str">
        <x:v>현재 야적량</x:v>
      </x:c>
      <x:c r="Q6" s="77" t="str">
        <x:v>잔여 반입량</x:v>
      </x:c>
    </x:row>
    <x:row r="7" ht="44" customHeight="1">
      <x:c r="A7" s="13" t="str">
        <x:v>철근</x:v>
      </x:c>
      <x:c r="B7" s="13" t="str">
        <x:v>철근</x:v>
      </x:c>
      <x:c r="C7" s="13" t="str">
        <x:v>D10</x:v>
      </x:c>
      <x:c r="D7" s="13" t="str">
        <x:v>SD500 D10 / 부위별 공장 가공</x:v>
      </x:c>
      <x:c r="E7" s="13" t="str">
        <x:v>kg</x:v>
      </x:c>
      <x:c r="F7" s="19" t="n">
        <x:f>IF(COUNTIFS('원자료·매핑'!$D$17:$D$144,"RB-D10",'원자료·매핑'!$B$17:$B$144,"113동",'원자료·매핑'!$O$17:$O$144,"미산정")&gt;0,"미산정",SUMIFS('원자료·매핑'!$O$17:$O$144,'원자료·매핑'!$D$17:$D$144,"RB-D10",'원자료·매핑'!$B$17:$B$144,"113동"))</x:f>
        <x:v>4070</x:v>
      </x:c>
      <x:c r="G7" s="19" t="n">
        <x:f>IF(COUNTIFS('원자료·매핑'!$D$17:$D$144,"RB-D10",'원자료·매핑'!$B$17:$B$144,"112동",'원자료·매핑'!$O$17:$O$144,"미산정")&gt;0,"미산정",SUMIFS('원자료·매핑'!$O$17:$O$144,'원자료·매핑'!$D$17:$D$144,"RB-D10",'원자료·매핑'!$B$17:$B$144,"112동"))</x:f>
        <x:v>4820</x:v>
      </x:c>
      <x:c r="H7" s="19" t="n">
        <x:f>IF(COUNTIFS('원자료·매핑'!$D$17:$D$144,"RB-D10",'원자료·매핑'!$B$17:$B$144,"104동",'원자료·매핑'!$O$17:$O$144,"미산정")&gt;0,"미산정",SUMIFS('원자료·매핑'!$O$17:$O$144,'원자료·매핑'!$D$17:$D$144,"RB-D10",'원자료·매핑'!$B$17:$B$144,"104동"))</x:f>
        <x:v>4400</x:v>
      </x:c>
      <x:c r="I7" s="19" t="n">
        <x:f>IF(COUNTIFS('원자료·매핑'!$D$17:$D$144,"RB-D10",'원자료·매핑'!$B$17:$B$144,"105동",'원자료·매핑'!$O$17:$O$144,"미산정")&gt;0,"미산정",SUMIFS('원자료·매핑'!$O$17:$O$144,'원자료·매핑'!$D$17:$D$144,"RB-D10",'원자료·매핑'!$B$17:$B$144,"105동"))</x:f>
        <x:v>5250</x:v>
      </x:c>
      <x:c r="J7" s="19" t="n">
        <x:f>IF(COUNTIFS(F7:I7,"미산정")&gt;0,"미산정",SUM(F7:I7))</x:f>
        <x:v>18540</x:v>
      </x:c>
      <x:c r="K7" s="26" t="n">
        <x:f>MIN('원자료·매핑'!R17,'원자료·매핑'!R43,'원자료·매핑'!R49,'원자료·매핑'!R75,'원자료·매핑'!R81,'원자료·매핑'!R107,'원자료·매핑'!R113,'원자료·매핑'!R139)</x:f>
        <x:v>2</x:v>
      </x:c>
      <x:c r="L7" s="26" t="n">
        <x:f>MAX('원자료·매핑'!R17,'원자료·매핑'!R43,'원자료·매핑'!R49,'원자료·매핑'!R75,'원자료·매핑'!R81,'원자료·매핑'!R107,'원자료·매핑'!R113,'원자료·매핑'!R139)</x:f>
        <x:v>61</x:v>
      </x:c>
      <x:c r="M7" s="24" t="str">
        <x:v>SD500 / 길이 미제공</x:v>
      </x:c>
      <x:c r="N7" s="85" t="n">
        <x:f>SUMIFS('원자료·매핑'!$T$17:$T$144,'원자료·매핑'!$D$17:$D$144,"RB-D10")</x:f>
        <x:v>6400</x:v>
      </x:c>
      <x:c r="O7" s="85" t="n">
        <x:f>SUMIFS('원자료·매핑'!$U$17:$U$144,'원자료·매핑'!$D$17:$D$144,"RB-D10")</x:f>
        <x:v>2830</x:v>
      </x:c>
      <x:c r="P7" s="90" t="n">
        <x:f>SUMIFS('원자료·매핑'!$V$17:$V$144,'원자료·매핑'!$D$17:$D$144,"RB-D10")</x:f>
        <x:v>3570</x:v>
      </x:c>
      <x:c r="Q7" s="85" t="n">
        <x:f>SUMIFS('원자료·매핑'!$W$17:$W$144,'원자료·매핑'!$D$17:$D$144,"RB-D10")</x:f>
        <x:v>12140</x:v>
      </x:c>
    </x:row>
    <x:row r="8" ht="44" customHeight="1">
      <x:c r="A8" s="6" t="str">
        <x:v>철근</x:v>
      </x:c>
      <x:c r="B8" s="6" t="str">
        <x:v>철근</x:v>
      </x:c>
      <x:c r="C8" s="6" t="str">
        <x:v>D13</x:v>
      </x:c>
      <x:c r="D8" s="6" t="str">
        <x:v>SD500 D13 / 부위별 공장 가공</x:v>
      </x:c>
      <x:c r="E8" s="6" t="str">
        <x:v>kg</x:v>
      </x:c>
      <x:c r="F8" s="20" t="n">
        <x:f>IF(COUNTIFS('원자료·매핑'!$D$17:$D$144,"RB-D13",'원자료·매핑'!$B$17:$B$144,"113동",'원자료·매핑'!$O$17:$O$144,"미산정")&gt;0,"미산정",SUMIFS('원자료·매핑'!$O$17:$O$144,'원자료·매핑'!$D$17:$D$144,"RB-D13",'원자료·매핑'!$B$17:$B$144,"113동"))</x:f>
        <x:v>8630</x:v>
      </x:c>
      <x:c r="G8" s="20" t="n">
        <x:f>IF(COUNTIFS('원자료·매핑'!$D$17:$D$144,"RB-D13",'원자료·매핑'!$B$17:$B$144,"112동",'원자료·매핑'!$O$17:$O$144,"미산정")&gt;0,"미산정",SUMIFS('원자료·매핑'!$O$17:$O$144,'원자료·매핑'!$D$17:$D$144,"RB-D13",'원자료·매핑'!$B$17:$B$144,"112동"))</x:f>
        <x:v>10220</x:v>
      </x:c>
      <x:c r="H8" s="20" t="n">
        <x:f>IF(COUNTIFS('원자료·매핑'!$D$17:$D$144,"RB-D13",'원자료·매핑'!$B$17:$B$144,"104동",'원자료·매핑'!$O$17:$O$144,"미산정")&gt;0,"미산정",SUMIFS('원자료·매핑'!$O$17:$O$144,'원자료·매핑'!$D$17:$D$144,"RB-D13",'원자료·매핑'!$B$17:$B$144,"104동"))</x:f>
        <x:v>9350</x:v>
      </x:c>
      <x:c r="I8" s="20" t="n">
        <x:f>IF(COUNTIFS('원자료·매핑'!$D$17:$D$144,"RB-D13",'원자료·매핑'!$B$17:$B$144,"105동",'원자료·매핑'!$O$17:$O$144,"미산정")&gt;0,"미산정",SUMIFS('원자료·매핑'!$O$17:$O$144,'원자료·매핑'!$D$17:$D$144,"RB-D13",'원자료·매핑'!$B$17:$B$144,"105동"))</x:f>
        <x:v>11100</x:v>
      </x:c>
      <x:c r="J8" s="20" t="n">
        <x:f>IF(COUNTIFS(F8:I8,"미산정")&gt;0,"미산정",SUM(F8:I8))</x:f>
        <x:v>39300</x:v>
      </x:c>
      <x:c r="K8" s="27" t="n">
        <x:f>MIN('원자료·매핑'!R18,'원자료·매핑'!R44,'원자료·매핑'!R50,'원자료·매핑'!R76,'원자료·매핑'!R82,'원자료·매핑'!R108,'원자료·매핑'!R114,'원자료·매핑'!R140)</x:f>
        <x:v>2</x:v>
      </x:c>
      <x:c r="L8" s="27" t="n">
        <x:f>MAX('원자료·매핑'!R18,'원자료·매핑'!R44,'원자료·매핑'!R50,'원자료·매핑'!R76,'원자료·매핑'!R82,'원자료·매핑'!R108,'원자료·매핑'!R114,'원자료·매핑'!R140)</x:f>
        <x:v>61</x:v>
      </x:c>
      <x:c r="M8" s="25" t="str">
        <x:v>SD500 / 길이 미제공</x:v>
      </x:c>
      <x:c r="N8" s="86" t="n">
        <x:f>SUMIFS('원자료·매핑'!$T$17:$T$144,'원자료·매핑'!$D$17:$D$144,"RB-D13")</x:f>
        <x:v>12340</x:v>
      </x:c>
      <x:c r="O8" s="86" t="n">
        <x:f>SUMIFS('원자료·매핑'!$U$17:$U$144,'원자료·매핑'!$D$17:$D$144,"RB-D13")</x:f>
        <x:v>4234</x:v>
      </x:c>
      <x:c r="P8" s="90" t="n">
        <x:f>SUMIFS('원자료·매핑'!$V$17:$V$144,'원자료·매핑'!$D$17:$D$144,"RB-D13")</x:f>
        <x:v>8106</x:v>
      </x:c>
      <x:c r="Q8" s="86" t="n">
        <x:f>SUMIFS('원자료·매핑'!$W$17:$W$144,'원자료·매핑'!$D$17:$D$144,"RB-D13")</x:f>
        <x:v>26960</x:v>
      </x:c>
    </x:row>
    <x:row r="9" ht="44" customHeight="1">
      <x:c r="A9" s="13" t="str">
        <x:v>철근</x:v>
      </x:c>
      <x:c r="B9" s="13" t="str">
        <x:v>철근</x:v>
      </x:c>
      <x:c r="C9" s="13" t="str">
        <x:v>D16</x:v>
      </x:c>
      <x:c r="D9" s="13" t="str">
        <x:v>SD500 D16 / 부위별 공장 가공</x:v>
      </x:c>
      <x:c r="E9" s="13" t="str">
        <x:v>kg</x:v>
      </x:c>
      <x:c r="F9" s="19" t="n">
        <x:f>IF(COUNTIFS('원자료·매핑'!$D$17:$D$144,"RB-D16",'원자료·매핑'!$B$17:$B$144,"113동",'원자료·매핑'!$O$17:$O$144,"미산정")&gt;0,"미산정",SUMIFS('원자료·매핑'!$O$17:$O$144,'원자료·매핑'!$D$17:$D$144,"RB-D16",'원자료·매핑'!$B$17:$B$144,"113동"))</x:f>
        <x:v>7950</x:v>
      </x:c>
      <x:c r="G9" s="19" t="n">
        <x:f>IF(COUNTIFS('원자료·매핑'!$D$17:$D$144,"RB-D16",'원자료·매핑'!$B$17:$B$144,"112동",'원자료·매핑'!$O$17:$O$144,"미산정")&gt;0,"미산정",SUMIFS('원자료·매핑'!$O$17:$O$144,'원자료·매핑'!$D$17:$D$144,"RB-D16",'원자료·매핑'!$B$17:$B$144,"112동"))</x:f>
        <x:v>9400</x:v>
      </x:c>
      <x:c r="H9" s="19" t="n">
        <x:f>IF(COUNTIFS('원자료·매핑'!$D$17:$D$144,"RB-D16",'원자료·매핑'!$B$17:$B$144,"104동",'원자료·매핑'!$O$17:$O$144,"미산정")&gt;0,"미산정",SUMIFS('원자료·매핑'!$O$17:$O$144,'원자료·매핑'!$D$17:$D$144,"RB-D16",'원자료·매핑'!$B$17:$B$144,"104동"))</x:f>
        <x:v>8570</x:v>
      </x:c>
      <x:c r="I9" s="19" t="n">
        <x:f>IF(COUNTIFS('원자료·매핑'!$D$17:$D$144,"RB-D16",'원자료·매핑'!$B$17:$B$144,"105동",'원자료·매핑'!$O$17:$O$144,"미산정")&gt;0,"미산정",SUMIFS('원자료·매핑'!$O$17:$O$144,'원자료·매핑'!$D$17:$D$144,"RB-D16",'원자료·매핑'!$B$17:$B$144,"105동"))</x:f>
        <x:v>10230</x:v>
      </x:c>
      <x:c r="J9" s="19" t="n">
        <x:f>IF(COUNTIFS(F9:I9,"미산정")&gt;0,"미산정",SUM(F9:I9))</x:f>
        <x:v>36150</x:v>
      </x:c>
      <x:c r="K9" s="26" t="n">
        <x:f>MIN('원자료·매핑'!R19,'원자료·매핑'!R45,'원자료·매핑'!R51,'원자료·매핑'!R77,'원자료·매핑'!R83,'원자료·매핑'!R109,'원자료·매핑'!R115,'원자료·매핑'!R141)</x:f>
        <x:v>2</x:v>
      </x:c>
      <x:c r="L9" s="26" t="n">
        <x:f>MAX('원자료·매핑'!R19,'원자료·매핑'!R45,'원자료·매핑'!R51,'원자료·매핑'!R77,'원자료·매핑'!R83,'원자료·매핑'!R109,'원자료·매핑'!R115,'원자료·매핑'!R141)</x:f>
        <x:v>61</x:v>
      </x:c>
      <x:c r="M9" s="24" t="str">
        <x:v>SD500 / 길이 미제공</x:v>
      </x:c>
      <x:c r="N9" s="85" t="n">
        <x:f>SUMIFS('원자료·매핑'!$T$17:$T$144,'원자료·매핑'!$D$17:$D$144,"RB-D16")</x:f>
        <x:v>12310</x:v>
      </x:c>
      <x:c r="O9" s="85" t="n">
        <x:f>SUMIFS('원자료·매핑'!$U$17:$U$144,'원자료·매핑'!$D$17:$D$144,"RB-D16")</x:f>
        <x:v>5284</x:v>
      </x:c>
      <x:c r="P9" s="90" t="n">
        <x:f>SUMIFS('원자료·매핑'!$V$17:$V$144,'원자료·매핑'!$D$17:$D$144,"RB-D16")</x:f>
        <x:v>7026</x:v>
      </x:c>
      <x:c r="Q9" s="85" t="n">
        <x:f>SUMIFS('원자료·매핑'!$W$17:$W$144,'원자료·매핑'!$D$17:$D$144,"RB-D16")</x:f>
        <x:v>23840</x:v>
      </x:c>
    </x:row>
    <x:row r="10" ht="44" customHeight="1">
      <x:c r="A10" s="6" t="str">
        <x:v>철근</x:v>
      </x:c>
      <x:c r="B10" s="6" t="str">
        <x:v>철근</x:v>
      </x:c>
      <x:c r="C10" s="6" t="str">
        <x:v>D19</x:v>
      </x:c>
      <x:c r="D10" s="6" t="str">
        <x:v>SD500 D19 / 부위별 공장 가공</x:v>
      </x:c>
      <x:c r="E10" s="6" t="str">
        <x:v>kg</x:v>
      </x:c>
      <x:c r="F10" s="20" t="n">
        <x:f>IF(COUNTIFS('원자료·매핑'!$D$17:$D$144,"RB-D19",'원자료·매핑'!$B$17:$B$144,"113동",'원자료·매핑'!$O$17:$O$144,"미산정")&gt;0,"미산정",SUMIFS('원자료·매핑'!$O$17:$O$144,'원자료·매핑'!$D$17:$D$144,"RB-D19",'원자료·매핑'!$B$17:$B$144,"113동"))</x:f>
        <x:v>7950</x:v>
      </x:c>
      <x:c r="G10" s="20" t="n">
        <x:f>IF(COUNTIFS('원자료·매핑'!$D$17:$D$144,"RB-D19",'원자료·매핑'!$B$17:$B$144,"112동",'원자료·매핑'!$O$17:$O$144,"미산정")&gt;0,"미산정",SUMIFS('원자료·매핑'!$O$17:$O$144,'원자료·매핑'!$D$17:$D$144,"RB-D19",'원자료·매핑'!$B$17:$B$144,"112동"))</x:f>
        <x:v>9400</x:v>
      </x:c>
      <x:c r="H10" s="20" t="n">
        <x:f>IF(COUNTIFS('원자료·매핑'!$D$17:$D$144,"RB-D19",'원자료·매핑'!$B$17:$B$144,"104동",'원자료·매핑'!$O$17:$O$144,"미산정")&gt;0,"미산정",SUMIFS('원자료·매핑'!$O$17:$O$144,'원자료·매핑'!$D$17:$D$144,"RB-D19",'원자료·매핑'!$B$17:$B$144,"104동"))</x:f>
        <x:v>8570</x:v>
      </x:c>
      <x:c r="I10" s="20" t="n">
        <x:f>IF(COUNTIFS('원자료·매핑'!$D$17:$D$144,"RB-D19",'원자료·매핑'!$B$17:$B$144,"105동",'원자료·매핑'!$O$17:$O$144,"미산정")&gt;0,"미산정",SUMIFS('원자료·매핑'!$O$17:$O$144,'원자료·매핑'!$D$17:$D$144,"RB-D19",'원자료·매핑'!$B$17:$B$144,"105동"))</x:f>
        <x:v>10230</x:v>
      </x:c>
      <x:c r="J10" s="20" t="n">
        <x:f>IF(COUNTIFS(F10:I10,"미산정")&gt;0,"미산정",SUM(F10:I10))</x:f>
        <x:v>36150</x:v>
      </x:c>
      <x:c r="K10" s="27" t="n">
        <x:f>MIN('원자료·매핑'!R20,'원자료·매핑'!R46,'원자료·매핑'!R52,'원자료·매핑'!R78,'원자료·매핑'!R84,'원자료·매핑'!R110,'원자료·매핑'!R116,'원자료·매핑'!R142)</x:f>
        <x:v>2</x:v>
      </x:c>
      <x:c r="L10" s="27" t="n">
        <x:f>MAX('원자료·매핑'!R20,'원자료·매핑'!R46,'원자료·매핑'!R52,'원자료·매핑'!R78,'원자료·매핑'!R84,'원자료·매핑'!R110,'원자료·매핑'!R116,'원자료·매핑'!R142)</x:f>
        <x:v>61</x:v>
      </x:c>
      <x:c r="M10" s="25" t="str">
        <x:v>SD500 / 길이 미제공</x:v>
      </x:c>
      <x:c r="N10" s="86" t="n">
        <x:f>SUMIFS('원자료·매핑'!$T$17:$T$144,'원자료·매핑'!$D$17:$D$144,"RB-D19")</x:f>
        <x:v>12310</x:v>
      </x:c>
      <x:c r="O10" s="86" t="n">
        <x:f>SUMIFS('원자료·매핑'!$U$17:$U$144,'원자료·매핑'!$D$17:$D$144,"RB-D19")</x:f>
        <x:v>5284</x:v>
      </x:c>
      <x:c r="P10" s="90" t="n">
        <x:f>SUMIFS('원자료·매핑'!$V$17:$V$144,'원자료·매핑'!$D$17:$D$144,"RB-D19")</x:f>
        <x:v>7026</x:v>
      </x:c>
      <x:c r="Q10" s="86" t="n">
        <x:f>SUMIFS('원자료·매핑'!$W$17:$W$144,'원자료·매핑'!$D$17:$D$144,"RB-D19")</x:f>
        <x:v>23840</x:v>
      </x:c>
    </x:row>
    <x:row r="11" ht="44" customHeight="1">
      <x:c r="A11" s="13" t="str">
        <x:v>철근</x:v>
      </x:c>
      <x:c r="B11" s="13" t="str">
        <x:v>철근</x:v>
      </x:c>
      <x:c r="C11" s="13" t="str">
        <x:v>D22</x:v>
      </x:c>
      <x:c r="D11" s="13" t="str">
        <x:v>SD500 D22 / 부위별 공장 가공</x:v>
      </x:c>
      <x:c r="E11" s="13" t="str">
        <x:v>kg</x:v>
      </x:c>
      <x:c r="F11" s="19" t="n">
        <x:f>IF(COUNTIFS('원자료·매핑'!$D$17:$D$144,"RB-D22",'원자료·매핑'!$B$17:$B$144,"113동",'원자료·매핑'!$O$17:$O$144,"미산정")&gt;0,"미산정",SUMIFS('원자료·매핑'!$O$17:$O$144,'원자료·매핑'!$D$17:$D$144,"RB-D22",'원자료·매핑'!$B$17:$B$144,"113동"))</x:f>
        <x:v>7660</x:v>
      </x:c>
      <x:c r="G11" s="19" t="n">
        <x:f>IF(COUNTIFS('원자료·매핑'!$D$17:$D$144,"RB-D22",'원자료·매핑'!$B$17:$B$144,"112동",'원자료·매핑'!$O$17:$O$144,"미산정")&gt;0,"미산정",SUMIFS('원자료·매핑'!$O$17:$O$144,'원자료·매핑'!$D$17:$D$144,"RB-D22",'원자료·매핑'!$B$17:$B$144,"112동"))</x:f>
        <x:v>9020</x:v>
      </x:c>
      <x:c r="H11" s="19" t="n">
        <x:f>IF(COUNTIFS('원자료·매핑'!$D$17:$D$144,"RB-D22",'원자료·매핑'!$B$17:$B$144,"104동",'원자료·매핑'!$O$17:$O$144,"미산정")&gt;0,"미산정",SUMIFS('원자료·매핑'!$O$17:$O$144,'원자료·매핑'!$D$17:$D$144,"RB-D22",'원자료·매핑'!$B$17:$B$144,"104동"))</x:f>
        <x:v>8200</x:v>
      </x:c>
      <x:c r="I11" s="19" t="n">
        <x:f>IF(COUNTIFS('원자료·매핑'!$D$17:$D$144,"RB-D22",'원자료·매핑'!$B$17:$B$144,"105동",'원자료·매핑'!$O$17:$O$144,"미산정")&gt;0,"미산정",SUMIFS('원자료·매핑'!$O$17:$O$144,'원자료·매핑'!$D$17:$D$144,"RB-D22",'원자료·매핑'!$B$17:$B$144,"105동"))</x:f>
        <x:v>9840</x:v>
      </x:c>
      <x:c r="J11" s="19" t="n">
        <x:f>IF(COUNTIFS(F11:I11,"미산정")&gt;0,"미산정",SUM(F11:I11))</x:f>
        <x:v>34720</x:v>
      </x:c>
      <x:c r="K11" s="26" t="n">
        <x:f>MIN('원자료·매핑'!R21,'원자료·매핑'!R47,'원자료·매핑'!R53,'원자료·매핑'!R79,'원자료·매핑'!R85,'원자료·매핑'!R111,'원자료·매핑'!R117,'원자료·매핑'!R143)</x:f>
        <x:v>2</x:v>
      </x:c>
      <x:c r="L11" s="26" t="n">
        <x:f>MAX('원자료·매핑'!R21,'원자료·매핑'!R47,'원자료·매핑'!R53,'원자료·매핑'!R79,'원자료·매핑'!R85,'원자료·매핑'!R111,'원자료·매핑'!R117,'원자료·매핑'!R143)</x:f>
        <x:v>61</x:v>
      </x:c>
      <x:c r="M11" s="24" t="str">
        <x:v>SD500 / 길이 미제공</x:v>
      </x:c>
      <x:c r="N11" s="85" t="n">
        <x:f>SUMIFS('원자료·매핑'!$T$17:$T$144,'원자료·매핑'!$D$17:$D$144,"RB-D22")</x:f>
        <x:v>13180</x:v>
      </x:c>
      <x:c r="O11" s="85" t="n">
        <x:f>SUMIFS('원자료·매핑'!$U$17:$U$144,'원자료·매핑'!$D$17:$D$144,"RB-D22")</x:f>
        <x:v>7048</x:v>
      </x:c>
      <x:c r="P11" s="90" t="n">
        <x:f>SUMIFS('원자료·매핑'!$V$17:$V$144,'원자료·매핑'!$D$17:$D$144,"RB-D22")</x:f>
        <x:v>6132</x:v>
      </x:c>
      <x:c r="Q11" s="85" t="n">
        <x:f>SUMIFS('원자료·매핑'!$W$17:$W$144,'원자료·매핑'!$D$17:$D$144,"RB-D22")</x:f>
        <x:v>21540</x:v>
      </x:c>
    </x:row>
    <x:row r="12" ht="44" customHeight="1">
      <x:c r="A12" s="6" t="str">
        <x:v>철근</x:v>
      </x:c>
      <x:c r="B12" s="6" t="str">
        <x:v>철근</x:v>
      </x:c>
      <x:c r="C12" s="6" t="str">
        <x:v>D25</x:v>
      </x:c>
      <x:c r="D12" s="6" t="str">
        <x:v>SD500 D25 / 부위별 공장 가공</x:v>
      </x:c>
      <x:c r="E12" s="6" t="str">
        <x:v>kg</x:v>
      </x:c>
      <x:c r="F12" s="20" t="n">
        <x:f>IF(COUNTIFS('원자료·매핑'!$D$17:$D$144,"RB-D25",'원자료·매핑'!$B$17:$B$144,"113동",'원자료·매핑'!$O$17:$O$144,"미산정")&gt;0,"미산정",SUMIFS('원자료·매핑'!$O$17:$O$144,'원자료·매핑'!$D$17:$D$144,"RB-D25",'원자료·매핑'!$B$17:$B$144,"113동"))</x:f>
        <x:v>8330</x:v>
      </x:c>
      <x:c r="G12" s="20" t="n">
        <x:f>IF(COUNTIFS('원자료·매핑'!$D$17:$D$144,"RB-D25",'원자료·매핑'!$B$17:$B$144,"112동",'원자료·매핑'!$O$17:$O$144,"미산정")&gt;0,"미산정",SUMIFS('원자료·매핑'!$O$17:$O$144,'원자료·매핑'!$D$17:$D$144,"RB-D25",'원자료·매핑'!$B$17:$B$144,"112동"))</x:f>
        <x:v>9790</x:v>
      </x:c>
      <x:c r="H12" s="20" t="n">
        <x:f>IF(COUNTIFS('원자료·매핑'!$D$17:$D$144,"RB-D25",'원자료·매핑'!$B$17:$B$144,"104동",'원자료·매핑'!$O$17:$O$144,"미산정")&gt;0,"미산정",SUMIFS('원자료·매핑'!$O$17:$O$144,'원자료·매핑'!$D$17:$D$144,"RB-D25",'원자료·매핑'!$B$17:$B$144,"104동"))</x:f>
        <x:v>8850</x:v>
      </x:c>
      <x:c r="I12" s="20" t="n">
        <x:f>IF(COUNTIFS('원자료·매핑'!$D$17:$D$144,"RB-D25",'원자료·매핑'!$B$17:$B$144,"105동",'원자료·매핑'!$O$17:$O$144,"미산정")&gt;0,"미산정",SUMIFS('원자료·매핑'!$O$17:$O$144,'원자료·매핑'!$D$17:$D$144,"RB-D25",'원자료·매핑'!$B$17:$B$144,"105동"))</x:f>
        <x:v>10720</x:v>
      </x:c>
      <x:c r="J12" s="20" t="n">
        <x:f>IF(COUNTIFS(F12:I12,"미산정")&gt;0,"미산정",SUM(F12:I12))</x:f>
        <x:v>37690</x:v>
      </x:c>
      <x:c r="K12" s="27" t="n">
        <x:f>MIN('원자료·매핑'!R22,'원자료·매핑'!R48,'원자료·매핑'!R54,'원자료·매핑'!R80,'원자료·매핑'!R86,'원자료·매핑'!R112,'원자료·매핑'!R118,'원자료·매핑'!R144)</x:f>
        <x:v>2</x:v>
      </x:c>
      <x:c r="L12" s="27" t="n">
        <x:f>MAX('원자료·매핑'!R22,'원자료·매핑'!R48,'원자료·매핑'!R54,'원자료·매핑'!R80,'원자료·매핑'!R86,'원자료·매핑'!R112,'원자료·매핑'!R118,'원자료·매핑'!R144)</x:f>
        <x:v>61</x:v>
      </x:c>
      <x:c r="M12" s="25" t="str">
        <x:v>SD500 / 길이 미제공</x:v>
      </x:c>
      <x:c r="N12" s="86" t="n">
        <x:f>SUMIFS('원자료·매핑'!$T$17:$T$144,'원자료·매핑'!$D$17:$D$144,"RB-D25")</x:f>
        <x:v>16320</x:v>
      </x:c>
      <x:c r="O12" s="86" t="n">
        <x:f>SUMIFS('원자료·매핑'!$U$17:$U$144,'원자료·매핑'!$D$17:$D$144,"RB-D25")</x:f>
        <x:v>10562</x:v>
      </x:c>
      <x:c r="P12" s="90" t="n">
        <x:f>SUMIFS('원자료·매핑'!$V$17:$V$144,'원자료·매핑'!$D$17:$D$144,"RB-D25")</x:f>
        <x:v>5758</x:v>
      </x:c>
      <x:c r="Q12" s="86" t="n">
        <x:f>SUMIFS('원자료·매핑'!$W$17:$W$144,'원자료·매핑'!$D$17:$D$144,"RB-D25")</x:f>
        <x:v>21370</x:v>
      </x:c>
    </x:row>
    <x:row r="13" ht="44" customHeight="1">
      <x:c r="A13" s="13" t="str">
        <x:v>거푸집</x:v>
      </x:c>
      <x:c r="B13" s="13" t="str">
        <x:v>유로폼</x:v>
      </x:c>
      <x:c r="C13" s="13" t="str">
        <x:v>500x1200</x:v>
      </x:c>
      <x:c r="D13" s="13" t="str">
        <x:v>500×1,200mm</x:v>
      </x:c>
      <x:c r="E13" s="13" t="str">
        <x:v>장</x:v>
      </x:c>
      <x:c r="F13" s="19" t="n">
        <x:f>IF(COUNTIFS('원자료·매핑'!$D$17:$D$144,"EF-5012",'원자료·매핑'!$B$17:$B$144,"113동",'원자료·매핑'!$O$17:$O$144,"미산정")&gt;0,"미산정",SUMIFS('원자료·매핑'!$O$17:$O$144,'원자료·매핑'!$D$17:$D$144,"EF-5012",'원자료·매핑'!$B$17:$B$144,"113동"))</x:f>
        <x:v>765</x:v>
      </x:c>
      <x:c r="G13" s="19" t="n">
        <x:f>IF(COUNTIFS('원자료·매핑'!$D$17:$D$144,"EF-5012",'원자료·매핑'!$B$17:$B$144,"112동",'원자료·매핑'!$O$17:$O$144,"미산정")&gt;0,"미산정",SUMIFS('원자료·매핑'!$O$17:$O$144,'원자료·매핑'!$D$17:$D$144,"EF-5012",'원자료·매핑'!$B$17:$B$144,"112동"))</x:f>
        <x:v>911</x:v>
      </x:c>
      <x:c r="H13" s="19" t="n">
        <x:f>IF(COUNTIFS('원자료·매핑'!$D$17:$D$144,"EF-5012",'원자료·매핑'!$B$17:$B$144,"104동",'원자료·매핑'!$O$17:$O$144,"미산정")&gt;0,"미산정",SUMIFS('원자료·매핑'!$O$17:$O$144,'원자료·매핑'!$D$17:$D$144,"EF-5012",'원자료·매핑'!$B$17:$B$144,"104동"))</x:f>
        <x:v>822</x:v>
      </x:c>
      <x:c r="I13" s="19" t="n">
        <x:f>IF(COUNTIFS('원자료·매핑'!$D$17:$D$144,"EF-5012",'원자료·매핑'!$B$17:$B$144,"105동",'원자료·매핑'!$O$17:$O$144,"미산정")&gt;0,"미산정",SUMIFS('원자료·매핑'!$O$17:$O$144,'원자료·매핑'!$D$17:$D$144,"EF-5012",'원자료·매핑'!$B$17:$B$144,"105동"))</x:f>
        <x:v>999</x:v>
      </x:c>
      <x:c r="J13" s="19" t="n">
        <x:f>IF(COUNTIFS(F13:I13,"미산정")&gt;0,"미산정",SUM(F13:I13))</x:f>
        <x:v>3497</x:v>
      </x:c>
      <x:c r="K13" s="26" t="n">
        <x:f>MIN('원자료·매핑'!R23,'원자료·매핑'!R55,'원자료·매핑'!R87,'원자료·매핑'!R119)</x:f>
        <x:v>7</x:v>
      </x:c>
      <x:c r="L13" s="26" t="n">
        <x:f>MAX('원자료·매핑'!R23,'원자료·매핑'!R55,'원자료·매핑'!R87,'원자료·매핑'!R119)</x:f>
        <x:v>47</x:v>
      </x:c>
      <x:c r="M13" s="24" t="str">
        <x:v>등록 일치 항목</x:v>
      </x:c>
      <x:c r="N13" s="85" t="n">
        <x:f>SUMIFS('원자료·매핑'!$T$17:$T$144,'원자료·매핑'!$D$17:$D$144,"EF-5012")</x:f>
        <x:v>1821</x:v>
      </x:c>
      <x:c r="O13" s="85" t="n">
        <x:f>SUMIFS('원자료·매핑'!$U$17:$U$144,'원자료·매핑'!$D$17:$D$144,"EF-5012")</x:f>
        <x:v>352</x:v>
      </x:c>
      <x:c r="P13" s="90" t="n">
        <x:f>SUMIFS('원자료·매핑'!$V$17:$V$144,'원자료·매핑'!$D$17:$D$144,"EF-5012")</x:f>
        <x:v>1469</x:v>
      </x:c>
      <x:c r="Q13" s="85" t="n">
        <x:f>SUMIFS('원자료·매핑'!$W$17:$W$144,'원자료·매핑'!$D$17:$D$144,"EF-5012")</x:f>
        <x:v>1676</x:v>
      </x:c>
    </x:row>
    <x:row r="14" ht="44" customHeight="1">
      <x:c r="A14" s="6" t="str">
        <x:v>거푸집</x:v>
      </x:c>
      <x:c r="B14" s="6" t="str">
        <x:v>유로폼</x:v>
      </x:c>
      <x:c r="C14" s="6" t="str">
        <x:v>600x1200</x:v>
      </x:c>
      <x:c r="D14" s="6" t="str">
        <x:v>600×1,200mm</x:v>
      </x:c>
      <x:c r="E14" s="6" t="str">
        <x:v>장</x:v>
      </x:c>
      <x:c r="F14" s="20" t="n">
        <x:f>IF(COUNTIFS('원자료·매핑'!$D$17:$D$144,"EF-6012",'원자료·매핑'!$B$17:$B$144,"113동",'원자료·매핑'!$O$17:$O$144,"미산정")&gt;0,"미산정",SUMIFS('원자료·매핑'!$O$17:$O$144,'원자료·매핑'!$D$17:$D$144,"EF-6012",'원자료·매핑'!$B$17:$B$144,"113동"))</x:f>
        <x:v>266</x:v>
      </x:c>
      <x:c r="G14" s="20" t="n">
        <x:f>IF(COUNTIFS('원자료·매핑'!$D$17:$D$144,"EF-6012",'원자료·매핑'!$B$17:$B$144,"112동",'원자료·매핑'!$O$17:$O$144,"미산정")&gt;0,"미산정",SUMIFS('원자료·매핑'!$O$17:$O$144,'원자료·매핑'!$D$17:$D$144,"EF-6012",'원자료·매핑'!$B$17:$B$144,"112동"))</x:f>
        <x:v>316</x:v>
      </x:c>
      <x:c r="H14" s="20" t="n">
        <x:f>IF(COUNTIFS('원자료·매핑'!$D$17:$D$144,"EF-6012",'원자료·매핑'!$B$17:$B$144,"104동",'원자료·매핑'!$O$17:$O$144,"미산정")&gt;0,"미산정",SUMIFS('원자료·매핑'!$O$17:$O$144,'원자료·매핑'!$D$17:$D$144,"EF-6012",'원자료·매핑'!$B$17:$B$144,"104동"))</x:f>
        <x:v>286</x:v>
      </x:c>
      <x:c r="I14" s="20" t="n">
        <x:f>IF(COUNTIFS('원자료·매핑'!$D$17:$D$144,"EF-6012",'원자료·매핑'!$B$17:$B$144,"105동",'원자료·매핑'!$O$17:$O$144,"미산정")&gt;0,"미산정",SUMIFS('원자료·매핑'!$O$17:$O$144,'원자료·매핑'!$D$17:$D$144,"EF-6012",'원자료·매핑'!$B$17:$B$144,"105동"))</x:f>
        <x:v>347</x:v>
      </x:c>
      <x:c r="J14" s="20" t="n">
        <x:f>IF(COUNTIFS(F14:I14,"미산정")&gt;0,"미산정",SUM(F14:I14))</x:f>
        <x:v>1215</x:v>
      </x:c>
      <x:c r="K14" s="27" t="n">
        <x:f>MIN('원자료·매핑'!R24,'원자료·매핑'!R56,'원자료·매핑'!R88,'원자료·매핑'!R120)</x:f>
        <x:v>7</x:v>
      </x:c>
      <x:c r="L14" s="27" t="n">
        <x:f>MAX('원자료·매핑'!R24,'원자료·매핑'!R56,'원자료·매핑'!R88,'원자료·매핑'!R120)</x:f>
        <x:v>47</x:v>
      </x:c>
      <x:c r="M14" s="25" t="str">
        <x:v>등록 일치 항목</x:v>
      </x:c>
      <x:c r="N14" s="86" t="n">
        <x:f>SUMIFS('원자료·매핑'!$T$17:$T$144,'원자료·매핑'!$D$17:$D$144,"EF-6012")</x:f>
        <x:v>633</x:v>
      </x:c>
      <x:c r="O14" s="86" t="n">
        <x:f>SUMIFS('원자료·매핑'!$U$17:$U$144,'원자료·매핑'!$D$17:$D$144,"EF-6012")</x:f>
        <x:v>123</x:v>
      </x:c>
      <x:c r="P14" s="90" t="n">
        <x:f>SUMIFS('원자료·매핑'!$V$17:$V$144,'원자료·매핑'!$D$17:$D$144,"EF-6012")</x:f>
        <x:v>510</x:v>
      </x:c>
      <x:c r="Q14" s="86" t="n">
        <x:f>SUMIFS('원자료·매핑'!$W$17:$W$144,'원자료·매핑'!$D$17:$D$144,"EF-6012")</x:f>
        <x:v>582</x:v>
      </x:c>
    </x:row>
    <x:row r="15" ht="44" customHeight="1">
      <x:c r="A15" s="13" t="str">
        <x:v>거푸집</x:v>
      </x:c>
      <x:c r="B15" s="13" t="str">
        <x:v>유로폼</x:v>
      </x:c>
      <x:c r="C15" s="13" t="str">
        <x:v>300x1200</x:v>
      </x:c>
      <x:c r="D15" s="13" t="str">
        <x:v>300×1,200mm</x:v>
      </x:c>
      <x:c r="E15" s="13" t="str">
        <x:v>장</x:v>
      </x:c>
      <x:c r="F15" s="19" t="n">
        <x:f>IF(COUNTIFS('원자료·매핑'!$D$17:$D$144,"EF-3012",'원자료·매핑'!$B$17:$B$144,"113동",'원자료·매핑'!$O$17:$O$144,"미산정")&gt;0,"미산정",SUMIFS('원자료·매핑'!$O$17:$O$144,'원자료·매핑'!$D$17:$D$144,"EF-3012",'원자료·매핑'!$B$17:$B$144,"113동"))</x:f>
        <x:v>213</x:v>
      </x:c>
      <x:c r="G15" s="19" t="n">
        <x:f>IF(COUNTIFS('원자료·매핑'!$D$17:$D$144,"EF-3012",'원자료·매핑'!$B$17:$B$144,"112동",'원자료·매핑'!$O$17:$O$144,"미산정")&gt;0,"미산정",SUMIFS('원자료·매핑'!$O$17:$O$144,'원자료·매핑'!$D$17:$D$144,"EF-3012",'원자료·매핑'!$B$17:$B$144,"112동"))</x:f>
        <x:v>253</x:v>
      </x:c>
      <x:c r="H15" s="19" t="n">
        <x:f>IF(COUNTIFS('원자료·매핑'!$D$17:$D$144,"EF-3012",'원자료·매핑'!$B$17:$B$144,"104동",'원자료·매핑'!$O$17:$O$144,"미산정")&gt;0,"미산정",SUMIFS('원자료·매핑'!$O$17:$O$144,'원자료·매핑'!$D$17:$D$144,"EF-3012",'원자료·매핑'!$B$17:$B$144,"104동"))</x:f>
        <x:v>229</x:v>
      </x:c>
      <x:c r="I15" s="19" t="n">
        <x:f>IF(COUNTIFS('원자료·매핑'!$D$17:$D$144,"EF-3012",'원자료·매핑'!$B$17:$B$144,"105동",'원자료·매핑'!$O$17:$O$144,"미산정")&gt;0,"미산정",SUMIFS('원자료·매핑'!$O$17:$O$144,'원자료·매핑'!$D$17:$D$144,"EF-3012",'원자료·매핑'!$B$17:$B$144,"105동"))</x:f>
        <x:v>278</x:v>
      </x:c>
      <x:c r="J15" s="19" t="n">
        <x:f>IF(COUNTIFS(F15:I15,"미산정")&gt;0,"미산정",SUM(F15:I15))</x:f>
        <x:v>973</x:v>
      </x:c>
      <x:c r="K15" s="26" t="n">
        <x:f>MIN('원자료·매핑'!R25,'원자료·매핑'!R57,'원자료·매핑'!R89,'원자료·매핑'!R121)</x:f>
        <x:v>7</x:v>
      </x:c>
      <x:c r="L15" s="26" t="n">
        <x:f>MAX('원자료·매핑'!R25,'원자료·매핑'!R57,'원자료·매핑'!R89,'원자료·매핑'!R121)</x:f>
        <x:v>47</x:v>
      </x:c>
      <x:c r="M15" s="24" t="str">
        <x:v>등록 일치 항목</x:v>
      </x:c>
      <x:c r="N15" s="85" t="n">
        <x:f>SUMIFS('원자료·매핑'!$T$17:$T$144,'원자료·매핑'!$D$17:$D$144,"EF-3012")</x:f>
        <x:v>507</x:v>
      </x:c>
      <x:c r="O15" s="85" t="n">
        <x:f>SUMIFS('원자료·매핑'!$U$17:$U$144,'원자료·매핑'!$D$17:$D$144,"EF-3012")</x:f>
        <x:v>98</x:v>
      </x:c>
      <x:c r="P15" s="90" t="n">
        <x:f>SUMIFS('원자료·매핑'!$V$17:$V$144,'원자료·매핑'!$D$17:$D$144,"EF-3012")</x:f>
        <x:v>409</x:v>
      </x:c>
      <x:c r="Q15" s="85" t="n">
        <x:f>SUMIFS('원자료·매핑'!$W$17:$W$144,'원자료·매핑'!$D$17:$D$144,"EF-3012")</x:f>
        <x:v>466</x:v>
      </x:c>
    </x:row>
    <x:row r="16" ht="44" customHeight="1">
      <x:c r="A16" s="6" t="str">
        <x:v>동바리</x:v>
      </x:c>
      <x:c r="B16" s="6" t="str">
        <x:v>시스템서포트</x:v>
      </x:c>
      <x:c r="C16" s="6" t="str">
        <x:v>동바리 상부자키</x:v>
      </x:c>
      <x:c r="D16" s="6" t="str">
        <x:v>Ø45 / L=600mm</x:v>
      </x:c>
      <x:c r="E16" s="6" t="str">
        <x:v>개</x:v>
      </x:c>
      <x:c r="F16" s="20" t="n">
        <x:f>IF(COUNTIFS('원자료·매핑'!$D$17:$D$144,"UJ-600",'원자료·매핑'!$B$17:$B$144,"113동",'원자료·매핑'!$O$17:$O$144,"미산정")&gt;0,"미산정",SUMIFS('원자료·매핑'!$O$17:$O$144,'원자료·매핑'!$D$17:$D$144,"UJ-600",'원자료·매핑'!$B$17:$B$144,"113동"))</x:f>
        <x:v>504</x:v>
      </x:c>
      <x:c r="G16" s="20" t="n">
        <x:f>IF(COUNTIFS('원자료·매핑'!$D$17:$D$144,"UJ-600",'원자료·매핑'!$B$17:$B$144,"112동",'원자료·매핑'!$O$17:$O$144,"미산정")&gt;0,"미산정",SUMIFS('원자료·매핑'!$O$17:$O$144,'원자료·매핑'!$D$17:$D$144,"UJ-600",'원자료·매핑'!$B$17:$B$144,"112동"))</x:f>
        <x:v>588</x:v>
      </x:c>
      <x:c r="H16" s="20" t="n">
        <x:f>IF(COUNTIFS('원자료·매핑'!$D$17:$D$144,"UJ-600",'원자료·매핑'!$B$17:$B$144,"104동",'원자료·매핑'!$O$17:$O$144,"미산정")&gt;0,"미산정",SUMIFS('원자료·매핑'!$O$17:$O$144,'원자료·매핑'!$D$17:$D$144,"UJ-600",'원자료·매핑'!$B$17:$B$144,"104동"))</x:f>
        <x:v>546</x:v>
      </x:c>
      <x:c r="I16" s="20" t="n">
        <x:f>IF(COUNTIFS('원자료·매핑'!$D$17:$D$144,"UJ-600",'원자료·매핑'!$B$17:$B$144,"105동",'원자료·매핑'!$O$17:$O$144,"미산정")&gt;0,"미산정",SUMIFS('원자료·매핑'!$O$17:$O$144,'원자료·매핑'!$D$17:$D$144,"UJ-600",'원자료·매핑'!$B$17:$B$144,"105동"))</x:f>
        <x:v>630</x:v>
      </x:c>
      <x:c r="J16" s="20" t="n">
        <x:f>IF(COUNTIFS(F16:I16,"미산정")&gt;0,"미산정",SUM(F16:I16))</x:f>
        <x:v>2268</x:v>
      </x:c>
      <x:c r="K16" s="27" t="n">
        <x:f>MIN('원자료·매핑'!R37,'원자료·매핑'!R69,'원자료·매핑'!R101,'원자료·매핑'!R133)</x:f>
        <x:v>9</x:v>
      </x:c>
      <x:c r="L16" s="27" t="n">
        <x:f>MAX('원자료·매핑'!R37,'원자료·매핑'!R69,'원자료·매핑'!R101,'원자료·매핑'!R133)</x:f>
        <x:v>54</x:v>
      </x:c>
      <x:c r="M16" s="25" t="str">
        <x:v>등록 일치 항목</x:v>
      </x:c>
      <x:c r="N16" s="86" t="n">
        <x:f>SUMIFS('원자료·매핑'!$T$17:$T$144,'원자료·매핑'!$D$17:$D$144,"UJ-600")</x:f>
        <x:v>546</x:v>
      </x:c>
      <x:c r="O16" s="86" t="n">
        <x:f>SUMIFS('원자료·매핑'!$U$17:$U$144,'원자료·매핑'!$D$17:$D$144,"UJ-600")</x:f>
        <x:v>0</x:v>
      </x:c>
      <x:c r="P16" s="90" t="n">
        <x:f>SUMIFS('원자료·매핑'!$V$17:$V$144,'원자료·매핑'!$D$17:$D$144,"UJ-600")</x:f>
        <x:v>546</x:v>
      </x:c>
      <x:c r="Q16" s="86" t="n">
        <x:f>SUMIFS('원자료·매핑'!$W$17:$W$144,'원자료·매핑'!$D$17:$D$144,"UJ-600")</x:f>
        <x:v>1722</x:v>
      </x:c>
    </x:row>
    <x:row r="17" ht="44" customHeight="1">
      <x:c r="A17" s="13" t="str">
        <x:v>동바리</x:v>
      </x:c>
      <x:c r="B17" s="13" t="str">
        <x:v>시스템서포트</x:v>
      </x:c>
      <x:c r="C17" s="13" t="str">
        <x:v>동바리 하부자키</x:v>
      </x:c>
      <x:c r="D17" s="13" t="str">
        <x:v>Ø45 / L=600mm</x:v>
      </x:c>
      <x:c r="E17" s="13" t="str">
        <x:v>개</x:v>
      </x:c>
      <x:c r="F17" s="19" t="n">
        <x:f>IF(COUNTIFS('원자료·매핑'!$D$17:$D$144,"BJ-600",'원자료·매핑'!$B$17:$B$144,"113동",'원자료·매핑'!$O$17:$O$144,"미산정")&gt;0,"미산정",SUMIFS('원자료·매핑'!$O$17:$O$144,'원자료·매핑'!$D$17:$D$144,"BJ-600",'원자료·매핑'!$B$17:$B$144,"113동"))</x:f>
        <x:v>504</x:v>
      </x:c>
      <x:c r="G17" s="19" t="n">
        <x:f>IF(COUNTIFS('원자료·매핑'!$D$17:$D$144,"BJ-600",'원자료·매핑'!$B$17:$B$144,"112동",'원자료·매핑'!$O$17:$O$144,"미산정")&gt;0,"미산정",SUMIFS('원자료·매핑'!$O$17:$O$144,'원자료·매핑'!$D$17:$D$144,"BJ-600",'원자료·매핑'!$B$17:$B$144,"112동"))</x:f>
        <x:v>588</x:v>
      </x:c>
      <x:c r="H17" s="19" t="n">
        <x:f>IF(COUNTIFS('원자료·매핑'!$D$17:$D$144,"BJ-600",'원자료·매핑'!$B$17:$B$144,"104동",'원자료·매핑'!$O$17:$O$144,"미산정")&gt;0,"미산정",SUMIFS('원자료·매핑'!$O$17:$O$144,'원자료·매핑'!$D$17:$D$144,"BJ-600",'원자료·매핑'!$B$17:$B$144,"104동"))</x:f>
        <x:v>546</x:v>
      </x:c>
      <x:c r="I17" s="19" t="n">
        <x:f>IF(COUNTIFS('원자료·매핑'!$D$17:$D$144,"BJ-600",'원자료·매핑'!$B$17:$B$144,"105동",'원자료·매핑'!$O$17:$O$144,"미산정")&gt;0,"미산정",SUMIFS('원자료·매핑'!$O$17:$O$144,'원자료·매핑'!$D$17:$D$144,"BJ-600",'원자료·매핑'!$B$17:$B$144,"105동"))</x:f>
        <x:v>630</x:v>
      </x:c>
      <x:c r="J17" s="19" t="n">
        <x:f>IF(COUNTIFS(F17:I17,"미산정")&gt;0,"미산정",SUM(F17:I17))</x:f>
        <x:v>2268</x:v>
      </x:c>
      <x:c r="K17" s="26" t="n">
        <x:f>MIN('원자료·매핑'!R38,'원자료·매핑'!R70,'원자료·매핑'!R102,'원자료·매핑'!R134)</x:f>
        <x:v>9</x:v>
      </x:c>
      <x:c r="L17" s="26" t="n">
        <x:f>MAX('원자료·매핑'!R38,'원자료·매핑'!R70,'원자료·매핑'!R102,'원자료·매핑'!R134)</x:f>
        <x:v>54</x:v>
      </x:c>
      <x:c r="M17" s="24" t="str">
        <x:v>등록 일치 항목</x:v>
      </x:c>
      <x:c r="N17" s="85" t="n">
        <x:f>SUMIFS('원자료·매핑'!$T$17:$T$144,'원자료·매핑'!$D$17:$D$144,"BJ-600")</x:f>
        <x:v>546</x:v>
      </x:c>
      <x:c r="O17" s="85" t="n">
        <x:f>SUMIFS('원자료·매핑'!$U$17:$U$144,'원자료·매핑'!$D$17:$D$144,"BJ-600")</x:f>
        <x:v>0</x:v>
      </x:c>
      <x:c r="P17" s="90" t="n">
        <x:f>SUMIFS('원자료·매핑'!$V$17:$V$144,'원자료·매핑'!$D$17:$D$144,"BJ-600")</x:f>
        <x:v>546</x:v>
      </x:c>
      <x:c r="Q17" s="85" t="n">
        <x:f>SUMIFS('원자료·매핑'!$W$17:$W$144,'원자료·매핑'!$D$17:$D$144,"BJ-600")</x:f>
        <x:v>1722</x:v>
      </x:c>
    </x:row>
    <x:row r="18" ht="44" customHeight="1">
      <x:c r="A18" s="6" t="str">
        <x:v>동바리</x:v>
      </x:c>
      <x:c r="B18" s="6" t="str">
        <x:v>시스템서포트</x:v>
      </x:c>
      <x:c r="C18" s="6" t="str">
        <x:v>카플링(소켓)</x:v>
      </x:c>
      <x:c r="D18" s="6" t="str">
        <x:v>Ø60.5 / L=120mm</x:v>
      </x:c>
      <x:c r="E18" s="6" t="str">
        <x:v>개</x:v>
      </x:c>
      <x:c r="F18" s="20" t="n">
        <x:f>IF(COUNTIFS('원자료·매핑'!$D$17:$D$144,"CP-120",'원자료·매핑'!$B$17:$B$144,"113동",'원자료·매핑'!$O$17:$O$144,"미산정")&gt;0,"미산정",SUMIFS('원자료·매핑'!$O$17:$O$144,'원자료·매핑'!$D$17:$D$144,"CP-120",'원자료·매핑'!$B$17:$B$144,"113동"))</x:f>
        <x:v>1008</x:v>
      </x:c>
      <x:c r="G18" s="20" t="n">
        <x:f>IF(COUNTIFS('원자료·매핑'!$D$17:$D$144,"CP-120",'원자료·매핑'!$B$17:$B$144,"112동",'원자료·매핑'!$O$17:$O$144,"미산정")&gt;0,"미산정",SUMIFS('원자료·매핑'!$O$17:$O$144,'원자료·매핑'!$D$17:$D$144,"CP-120",'원자료·매핑'!$B$17:$B$144,"112동"))</x:f>
        <x:v>1176</x:v>
      </x:c>
      <x:c r="H18" s="20" t="n">
        <x:f>IF(COUNTIFS('원자료·매핑'!$D$17:$D$144,"CP-120",'원자료·매핑'!$B$17:$B$144,"104동",'원자료·매핑'!$O$17:$O$144,"미산정")&gt;0,"미산정",SUMIFS('원자료·매핑'!$O$17:$O$144,'원자료·매핑'!$D$17:$D$144,"CP-120",'원자료·매핑'!$B$17:$B$144,"104동"))</x:f>
        <x:v>1092</x:v>
      </x:c>
      <x:c r="I18" s="20" t="n">
        <x:f>IF(COUNTIFS('원자료·매핑'!$D$17:$D$144,"CP-120",'원자료·매핑'!$B$17:$B$144,"105동",'원자료·매핑'!$O$17:$O$144,"미산정")&gt;0,"미산정",SUMIFS('원자료·매핑'!$O$17:$O$144,'원자료·매핑'!$D$17:$D$144,"CP-120",'원자료·매핑'!$B$17:$B$144,"105동"))</x:f>
        <x:v>1260</x:v>
      </x:c>
      <x:c r="J18" s="20" t="n">
        <x:f>IF(COUNTIFS(F18:I18,"미산정")&gt;0,"미산정",SUM(F18:I18))</x:f>
        <x:v>4536</x:v>
      </x:c>
      <x:c r="K18" s="27" t="n">
        <x:f>MIN('원자료·매핑'!R39,'원자료·매핑'!R71,'원자료·매핑'!R103,'원자료·매핑'!R135)</x:f>
        <x:v>9</x:v>
      </x:c>
      <x:c r="L18" s="27" t="n">
        <x:f>MAX('원자료·매핑'!R39,'원자료·매핑'!R71,'원자료·매핑'!R103,'원자료·매핑'!R135)</x:f>
        <x:v>54</x:v>
      </x:c>
      <x:c r="M18" s="25" t="str">
        <x:v>등록 일치 항목</x:v>
      </x:c>
      <x:c r="N18" s="86" t="n">
        <x:f>SUMIFS('원자료·매핑'!$T$17:$T$144,'원자료·매핑'!$D$17:$D$144,"CP-120")</x:f>
        <x:v>1092</x:v>
      </x:c>
      <x:c r="O18" s="86" t="n">
        <x:f>SUMIFS('원자료·매핑'!$U$17:$U$144,'원자료·매핑'!$D$17:$D$144,"CP-120")</x:f>
        <x:v>0</x:v>
      </x:c>
      <x:c r="P18" s="90" t="n">
        <x:f>SUMIFS('원자료·매핑'!$V$17:$V$144,'원자료·매핑'!$D$17:$D$144,"CP-120")</x:f>
        <x:v>1092</x:v>
      </x:c>
      <x:c r="Q18" s="86" t="n">
        <x:f>SUMIFS('원자료·매핑'!$W$17:$W$144,'원자료·매핑'!$D$17:$D$144,"CP-120")</x:f>
        <x:v>3444</x:v>
      </x:c>
    </x:row>
    <x:row r="19" ht="26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8" customHeight="1">
      <x:c r="A20" s="5" t="str">
        <x:v>자재수불부에는 전체 적용 반입·불출 계획과 WD10의 가상 진행 상태를 함께 표시. 합격·검사·서명은 공란.</x:v>
      </x:c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</x:row>
    <x:row r="21" ht="28" customHeight="1">
      <x:c r="A21" s="5" t="str">
        <x:v>현재 야적량 = 기반입량 − 기불출량. 작업장으로 불출된 설치·사용 중 자재와 구분. 동간 재사용·해체·회수는 미반영.</x:v>
      </x:c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</x:row>
    <x:row r="22" ht="28" customHeight="1">
      <x:c r="A22" s="5" t="str">
        <x:v>설계량 대신 가상 ‘계획량’을 표기했습니다. 실제 검사 결과와 달력 날짜는 확정 후 기록합니다.</x:v>
      </x:c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</x:row>
    <x:row r="23" ht="26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6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38" customHeight="1">
      <x:c r="A25" s="36" t="str">
        <x:v>미산정 항목 — 현재 웹에 등록된 규격과 일치하지 않아 반입 계획에서 제외</x:v>
      </x:c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</x:row>
    <x:row r="26" ht="38" customHeight="1">
      <x:c r="A26" s="36" t="str">
        <x:v>원자료 코드</x:v>
      </x:c>
      <x:c r="B26" s="36" t="str">
        <x:v>원자료 품목</x:v>
      </x:c>
      <x:c r="C26" s="36" t="str">
        <x:v>원자료 규격</x:v>
      </x:c>
      <x:c r="D26" s="36"/>
      <x:c r="E26" s="36"/>
      <x:c r="F26" s="36" t="str">
        <x:v>계획 수량</x:v>
      </x:c>
      <x:c r="G26" s="36"/>
      <x:c r="H26" s="36"/>
      <x:c r="I26" s="36" t="str">
        <x:v>단위</x:v>
      </x:c>
      <x:c r="J26" s="36" t="str">
        <x:v>처리 근거</x:v>
      </x:c>
      <x:c r="K26" s="36"/>
      <x:c r="L26" s="36"/>
      <x:c r="M26" s="36"/>
    </x:row>
    <x:row r="27" ht="38" customHeight="1">
      <x:c r="A27" s="6" t="str">
        <x:v>EF-5006</x:v>
      </x:c>
      <x:c r="B27" s="6" t="str">
        <x:v>유로폼</x:v>
      </x:c>
      <x:c r="C27" s="6" t="str">
        <x:v>500×600mm</x:v>
      </x:c>
      <x:c r="D27" s="6"/>
      <x:c r="E27" s="6"/>
      <x:c r="F27" s="14" t="str">
        <x:v>미산정</x:v>
      </x:c>
      <x:c r="G27" s="14"/>
      <x:c r="H27" s="14"/>
      <x:c r="I27" s="6" t="str">
        <x:v>장</x:v>
      </x:c>
      <x:c r="J27" s="6" t="str">
        <x:v>유로폼 500×600은 현재 웹 등록 규격에 없음</x:v>
      </x:c>
      <x:c r="K27" s="6"/>
      <x:c r="L27" s="6"/>
      <x:c r="M27" s="6"/>
    </x:row>
    <x:row r="28" ht="38" customHeight="1">
      <x:c r="A28" s="6" t="str">
        <x:v>PW-1224</x:v>
      </x:c>
      <x:c r="B28" s="6" t="str">
        <x:v>코팅합판</x:v>
      </x:c>
      <x:c r="C28" s="6" t="str">
        <x:v>1,220×2,440×12mm</x:v>
      </x:c>
      <x:c r="D28" s="6"/>
      <x:c r="E28" s="6"/>
      <x:c r="F28" s="14" t="str">
        <x:v>미산정</x:v>
      </x:c>
      <x:c r="G28" s="14"/>
      <x:c r="H28" s="14"/>
      <x:c r="I28" s="6" t="str">
        <x:v>장</x:v>
      </x:c>
      <x:c r="J28" s="6" t="str">
        <x:v>현재 웹 등록 품목에 없음. 다른 품목으로 대체하지 않음</x:v>
      </x:c>
      <x:c r="K28" s="6"/>
      <x:c r="L28" s="6"/>
      <x:c r="M28" s="6"/>
    </x:row>
    <x:row r="29" ht="38" customHeight="1">
      <x:c r="A29" s="6" t="str">
        <x:v>IC-1012</x:v>
      </x:c>
      <x:c r="B29" s="6" t="str">
        <x:v>인코너</x:v>
      </x:c>
      <x:c r="C29" s="6" t="str">
        <x:v>100×100×1,200mm</x:v>
      </x:c>
      <x:c r="D29" s="6"/>
      <x:c r="E29" s="6"/>
      <x:c r="F29" s="14" t="str">
        <x:v>미산정</x:v>
      </x:c>
      <x:c r="G29" s="14"/>
      <x:c r="H29" s="14"/>
      <x:c r="I29" s="6" t="str">
        <x:v>개</x:v>
      </x:c>
      <x:c r="J29" s="6" t="str">
        <x:v>현재 웹 등록 품목에 없음. 다른 품목으로 대체하지 않음</x:v>
      </x:c>
      <x:c r="K29" s="6"/>
      <x:c r="L29" s="6"/>
      <x:c r="M29" s="6"/>
    </x:row>
    <x:row r="30" ht="38" customHeight="1">
      <x:c r="A30" s="6" t="str">
        <x:v>OC-12</x:v>
      </x:c>
      <x:c r="B30" s="6" t="str">
        <x:v>아웃코너</x:v>
      </x:c>
      <x:c r="C30" s="6" t="str">
        <x:v>길이 1,200mm</x:v>
      </x:c>
      <x:c r="D30" s="6"/>
      <x:c r="E30" s="6"/>
      <x:c r="F30" s="14" t="str">
        <x:v>미산정</x:v>
      </x:c>
      <x:c r="G30" s="14"/>
      <x:c r="H30" s="14"/>
      <x:c r="I30" s="6" t="str">
        <x:v>개</x:v>
      </x:c>
      <x:c r="J30" s="6" t="str">
        <x:v>현재 웹 등록 품목에 없음. 다른 품목으로 대체하지 않음</x:v>
      </x:c>
      <x:c r="K30" s="6"/>
      <x:c r="L30" s="6"/>
      <x:c r="M30" s="6"/>
    </x:row>
    <x:row r="31" ht="38" customHeight="1">
      <x:c r="A31" s="6" t="str">
        <x:v>SV-1725</x:v>
      </x:c>
      <x:c r="B31" s="6" t="str">
        <x:v>수직재</x:v>
      </x:c>
      <x:c r="C31" s="6" t="str">
        <x:v>Ø60.5 / L=1,725mm</x:v>
      </x:c>
      <x:c r="D31" s="6"/>
      <x:c r="E31" s="6"/>
      <x:c r="F31" s="14" t="str">
        <x:v>미산정</x:v>
      </x:c>
      <x:c r="G31" s="14"/>
      <x:c r="H31" s="14"/>
      <x:c r="I31" s="6" t="str">
        <x:v>본</x:v>
      </x:c>
      <x:c r="J31" s="6" t="str">
        <x:v>원자료 치수·DSD 코드와 웹 P·H·OB 규격의 동일성 미확인</x:v>
      </x:c>
      <x:c r="K31" s="6"/>
      <x:c r="L31" s="6"/>
      <x:c r="M31" s="6"/>
    </x:row>
    <x:row r="32" ht="38" customHeight="1">
      <x:c r="A32" s="6" t="str">
        <x:v>SV-1291</x:v>
      </x:c>
      <x:c r="B32" s="6" t="str">
        <x:v>수직재</x:v>
      </x:c>
      <x:c r="C32" s="6" t="str">
        <x:v>Ø60.5 / L=1,291mm</x:v>
      </x:c>
      <x:c r="D32" s="6"/>
      <x:c r="E32" s="6"/>
      <x:c r="F32" s="14" t="str">
        <x:v>미산정</x:v>
      </x:c>
      <x:c r="G32" s="14"/>
      <x:c r="H32" s="14"/>
      <x:c r="I32" s="6" t="str">
        <x:v>본</x:v>
      </x:c>
      <x:c r="J32" s="6" t="str">
        <x:v>원자료 치수·DSD 코드와 웹 P·H·OB 규격의 동일성 미확인</x:v>
      </x:c>
      <x:c r="K32" s="6"/>
      <x:c r="L32" s="6"/>
      <x:c r="M32" s="6"/>
    </x:row>
    <x:row r="33" ht="38" customHeight="1">
      <x:c r="A33" s="6" t="str">
        <x:v>SV-0863</x:v>
      </x:c>
      <x:c r="B33" s="6" t="str">
        <x:v>수직재</x:v>
      </x:c>
      <x:c r="C33" s="6" t="str">
        <x:v>Ø60.5 / L=863mm</x:v>
      </x:c>
      <x:c r="D33" s="6"/>
      <x:c r="E33" s="6"/>
      <x:c r="F33" s="14" t="str">
        <x:v>미산정</x:v>
      </x:c>
      <x:c r="G33" s="14"/>
      <x:c r="H33" s="14"/>
      <x:c r="I33" s="6" t="str">
        <x:v>본</x:v>
      </x:c>
      <x:c r="J33" s="6" t="str">
        <x:v>원자료 치수·DSD 코드와 웹 P·H·OB 규격의 동일성 미확인</x:v>
      </x:c>
      <x:c r="K33" s="6"/>
      <x:c r="L33" s="6"/>
      <x:c r="M33" s="6"/>
    </x:row>
    <x:row r="34" ht="38" customHeight="1">
      <x:c r="A34" s="6" t="str">
        <x:v>SH-1219</x:v>
      </x:c>
      <x:c r="B34" s="6" t="str">
        <x:v>수평재</x:v>
      </x:c>
      <x:c r="C34" s="6" t="str">
        <x:v>Ø42.7 / 호칭 L=1,219mm</x:v>
      </x:c>
      <x:c r="D34" s="6"/>
      <x:c r="E34" s="6"/>
      <x:c r="F34" s="14" t="str">
        <x:v>미산정</x:v>
      </x:c>
      <x:c r="G34" s="14"/>
      <x:c r="H34" s="14"/>
      <x:c r="I34" s="6" t="str">
        <x:v>본</x:v>
      </x:c>
      <x:c r="J34" s="6" t="str">
        <x:v>원자료 치수·DSD 코드와 웹 P·H·OB 규격의 동일성 미확인</x:v>
      </x:c>
      <x:c r="K34" s="6"/>
      <x:c r="L34" s="6"/>
      <x:c r="M34" s="6"/>
    </x:row>
    <x:row r="35" ht="38" customHeight="1">
      <x:c r="A35" s="6" t="str">
        <x:v>SB-1712</x:v>
      </x:c>
      <x:c r="B35" s="6" t="str">
        <x:v>가새재</x:v>
      </x:c>
      <x:c r="C35" s="6" t="str">
        <x:v>DSD-1712 / L=1,974mm</x:v>
      </x:c>
      <x:c r="D35" s="6"/>
      <x:c r="E35" s="6"/>
      <x:c r="F35" s="14" t="str">
        <x:v>미산정</x:v>
      </x:c>
      <x:c r="G35" s="14"/>
      <x:c r="H35" s="14"/>
      <x:c r="I35" s="6" t="str">
        <x:v>본</x:v>
      </x:c>
      <x:c r="J35" s="6" t="str">
        <x:v>원자료 치수·DSD 코드와 웹 P·H·OB 규격의 동일성 미확인</x:v>
      </x:c>
      <x:c r="K35" s="6"/>
      <x:c r="L35" s="6"/>
      <x:c r="M35" s="6"/>
    </x:row>
    <x:row r="36" ht="38" customHeight="1">
      <x:c r="A36" s="6" t="str">
        <x:v>SB-1212</x:v>
      </x:c>
      <x:c r="B36" s="6" t="str">
        <x:v>가새재</x:v>
      </x:c>
      <x:c r="C36" s="6" t="str">
        <x:v>DSD-1212 / L=1,609mm</x:v>
      </x:c>
      <x:c r="D36" s="6"/>
      <x:c r="E36" s="6"/>
      <x:c r="F36" s="14" t="str">
        <x:v>미산정</x:v>
      </x:c>
      <x:c r="G36" s="14"/>
      <x:c r="H36" s="14"/>
      <x:c r="I36" s="6" t="str">
        <x:v>본</x:v>
      </x:c>
      <x:c r="J36" s="6" t="str">
        <x:v>원자료 치수·DSD 코드와 웹 P·H·OB 규격의 동일성 미확인</x:v>
      </x:c>
      <x:c r="K36" s="6"/>
      <x:c r="L36" s="6"/>
      <x:c r="M36" s="6"/>
    </x:row>
    <x:row r="37" ht="38" customHeight="1">
      <x:c r="A37" s="6" t="str">
        <x:v>SB-0812</x:v>
      </x:c>
      <x:c r="B37" s="6" t="str">
        <x:v>가새재</x:v>
      </x:c>
      <x:c r="C37" s="6" t="str">
        <x:v>DSD-0812 / L=1,290mm</x:v>
      </x:c>
      <x:c r="D37" s="6"/>
      <x:c r="E37" s="6"/>
      <x:c r="F37" s="14" t="str">
        <x:v>미산정</x:v>
      </x:c>
      <x:c r="G37" s="14"/>
      <x:c r="H37" s="14"/>
      <x:c r="I37" s="6" t="str">
        <x:v>본</x:v>
      </x:c>
      <x:c r="J37" s="6" t="str">
        <x:v>원자료 치수·DSD 코드와 웹 P·H·OB 규격의 동일성 미확인</x:v>
      </x:c>
      <x:c r="K37" s="6"/>
      <x:c r="L37" s="6"/>
      <x:c r="M37" s="6"/>
    </x:row>
    <x:row r="38" ht="38" customHeight="1">
      <x:c r="A38" s="6" t="str">
        <x:v>JO-4000</x:v>
      </x:c>
      <x:c r="B38" s="6" t="str">
        <x:v>각관 장선</x:v>
      </x:c>
      <x:c r="C38" s="6" t="str">
        <x:v>50×50×2.3mm / L=4,000mm</x:v>
      </x:c>
      <x:c r="D38" s="6"/>
      <x:c r="E38" s="6"/>
      <x:c r="F38" s="14" t="str">
        <x:v>미산정</x:v>
      </x:c>
      <x:c r="G38" s="14"/>
      <x:c r="H38" s="14"/>
      <x:c r="I38" s="6" t="str">
        <x:v>본</x:v>
      </x:c>
      <x:c r="J38" s="6" t="str">
        <x:v>현재 웹 등록 품목에 없음. 다른 품목으로 대체하지 않음</x:v>
      </x:c>
      <x:c r="K38" s="6"/>
      <x:c r="L38" s="6"/>
      <x:c r="M38" s="6"/>
    </x:row>
    <x:row r="39" ht="38" customHeight="1">
      <x:c r="A39" s="6" t="str">
        <x:v>BE-3000</x:v>
      </x:c>
      <x:c r="B39" s="6" t="str">
        <x:v>시스템 멍에</x:v>
      </x:c>
      <x:c r="C39" s="6" t="str">
        <x:v>선정 제품 길이 3,000mm</x:v>
      </x:c>
      <x:c r="D39" s="6"/>
      <x:c r="E39" s="6"/>
      <x:c r="F39" s="14" t="str">
        <x:v>미산정</x:v>
      </x:c>
      <x:c r="G39" s="14"/>
      <x:c r="H39" s="14"/>
      <x:c r="I39" s="6" t="str">
        <x:v>본</x:v>
      </x:c>
      <x:c r="J39" s="6" t="str">
        <x:v>현재 웹 등록 품목에 없음. 다른 품목으로 대체하지 않음</x:v>
      </x:c>
      <x:c r="K39" s="6"/>
      <x:c r="L39" s="6"/>
      <x:c r="M39" s="6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8" customHeight="1">
      <x:c r="A42" s="5" t="str">
        <x:v>갱폼·알폼·강관파이프·서포트·알루미늄 잭서포트·안전발판·시스템비계는 일치 물량이 없어 미산정.</x:v>
      </x:c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</x:row>
    <x:row r="43" ht="28" customHeight="1">
      <x:c r="A43" s="5" t="str">
        <x:v>그 밖의 등록 규격도 첨부 자료에 수량이 없으면 미산정입니다. 미산정은 수량 0을 의미하지 않습니다.</x:v>
      </x:c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6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6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6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6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</x:sheetData>
  <x:mergeCells>
    <x:mergeCell ref="A3:M3"/>
    <x:mergeCell ref="A4:M4"/>
    <x:mergeCell ref="A20:M20"/>
    <x:mergeCell ref="A21:M21"/>
    <x:mergeCell ref="A22:M22"/>
    <x:mergeCell ref="A25:M25"/>
    <x:mergeCell ref="C26:E26"/>
    <x:mergeCell ref="F26:H26"/>
    <x:mergeCell ref="J26:M26"/>
    <x:mergeCell ref="C27:E27"/>
    <x:mergeCell ref="F27:H27"/>
    <x:mergeCell ref="J27:M27"/>
    <x:mergeCell ref="C28:E28"/>
    <x:mergeCell ref="F28:H28"/>
    <x:mergeCell ref="J28:M28"/>
    <x:mergeCell ref="C29:E29"/>
    <x:mergeCell ref="F29:H29"/>
    <x:mergeCell ref="J29:M29"/>
    <x:mergeCell ref="C30:E30"/>
    <x:mergeCell ref="F30:H30"/>
    <x:mergeCell ref="J30:M30"/>
    <x:mergeCell ref="C31:E31"/>
    <x:mergeCell ref="F31:H31"/>
    <x:mergeCell ref="J31:M31"/>
    <x:mergeCell ref="C32:E32"/>
    <x:mergeCell ref="F32:H32"/>
    <x:mergeCell ref="J32:M32"/>
    <x:mergeCell ref="C33:E33"/>
    <x:mergeCell ref="F33:H33"/>
    <x:mergeCell ref="J33:M33"/>
    <x:mergeCell ref="C34:E34"/>
    <x:mergeCell ref="F34:H34"/>
    <x:mergeCell ref="J34:M34"/>
    <x:mergeCell ref="C35:E35"/>
    <x:mergeCell ref="F35:H35"/>
    <x:mergeCell ref="J35:M35"/>
    <x:mergeCell ref="C36:E36"/>
    <x:mergeCell ref="F36:H36"/>
    <x:mergeCell ref="J36:M36"/>
    <x:mergeCell ref="C37:E37"/>
    <x:mergeCell ref="F37:H37"/>
    <x:mergeCell ref="J37:M37"/>
    <x:mergeCell ref="C38:E38"/>
    <x:mergeCell ref="F38:H38"/>
    <x:mergeCell ref="J38:M38"/>
    <x:mergeCell ref="C39:E39"/>
    <x:mergeCell ref="F39:H39"/>
    <x:mergeCell ref="J39:M39"/>
    <x:mergeCell ref="A42:M42"/>
    <x:mergeCell ref="A43:M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877D"/>
  </x:sheetPr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0.75" hidden="0" customWidth="1"/>
    <x:col min="2" max="2" width="6" hidden="0" customWidth="1"/>
    <x:col min="3" max="3" width="26.8799991607666" hidden="0" customWidth="1"/>
    <x:col min="4" max="4" width="9.75" hidden="0" customWidth="1"/>
    <x:col min="5" max="5" width="10.630000114440918" hidden="0" customWidth="1"/>
    <x:col min="6" max="6" width="9.380000114440918" hidden="0" customWidth="1"/>
    <x:col min="7" max="7" width="10.630000114440918" hidden="0" customWidth="1"/>
    <x:col min="8" max="8" width="9.380000114440918" hidden="0" customWidth="1"/>
    <x:col min="9" max="9" width="16.5" hidden="0" customWidth="1"/>
    <x:col min="10" max="10" width="9.75" hidden="0" customWidth="1"/>
    <x:col min="11" max="11" width="10.630000114440918" hidden="0" customWidth="1"/>
    <x:col min="12" max="12" width="11.25" hidden="0" customWidth="1"/>
    <x:col min="13" max="13" width="9.630000114440918" hidden="0" customWidth="1"/>
    <x:col min="14" max="14" width="10" hidden="0" customWidth="1"/>
    <x:col min="15" max="15" width="30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6" customHeight="1">
      <x:c r="A2" s="32" t="str">
        <x:v>주요자재 검사 및 수불부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8" customHeight="1">
      <x:c r="A3" s="5" t="str">
        <x:f>"가상 진행 WD "&amp;'원자료·매핑'!$B$15&amp;" 기준 / 전체 계획과 현재 재고를 구분 / 검사 실적은 공란"</x:f>
        <x:v>가상 진행 WD 10 기준 / 전체 계획과 현재 재고를 구분 / 검사 실적은 공란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38" t="str">
        <x:v>01. 주요자재 검사 및 수불부</x:v>
      </x:c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  <x:row r="6" ht="28" customHeight="1">
      <x:c r="A6" s="39" t="str">
        <x:v>품명: 철근 / D10</x:v>
      </x:c>
      <x:c r="B6" s="39"/>
      <x:c r="C6" s="39"/>
      <x:c r="D6" s="39"/>
      <x:c r="E6" s="39"/>
      <x:c r="F6" s="39"/>
      <x:c r="G6" s="39"/>
      <x:c r="H6" s="39"/>
      <x:c r="I6" s="39"/>
      <x:c r="J6" s="39" t="str">
        <x:v>단위: kg / SD500 / 길이 미제공</x:v>
      </x:c>
      <x:c r="K6" s="39"/>
      <x:c r="L6" s="39"/>
      <x:c r="M6" s="39"/>
      <x:c r="N6" s="39"/>
      <x:c r="O6" s="39"/>
    </x:row>
    <x:row r="7" ht="32" customHeight="1">
      <x:c r="A7" s="4" t="str">
        <x:v>반입·불출 수량은 전체 계획. O열에는 기준일 진행 상태를 구분. 사진에서 검사 합격·규격·수량을 확정하지 않음.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 ht="30" customHeight="1">
      <x:c r="A8" s="92" t="str">
        <x:f>"기준 WD "&amp;'원자료·매핑'!$B$15&amp;"  기반입 "&amp;TEXT(SUMIFS('원자료·매핑'!$T$17:$T$144,'원자료·매핑'!$D$17:$D$144,"RB-D10"),"#,##0")&amp;" / 기불출 "&amp;TEXT(SUMIFS('원자료·매핑'!$U$17:$U$144,'원자료·매핑'!$D$17:$D$144,"RB-D10"),"#,##0")&amp;" / 현재 야적 "&amp;TEXT(SUMIFS('원자료·매핑'!$V$17:$V$144,'원자료·매핑'!$D$17:$D$144,"RB-D10"),"#,##0")&amp;" (가상)"</x:f>
        <x:v>기준 WD 10  기반입 6,400 / 기불출 2,830 / 현재 야적 3,570 (가상)</x:v>
      </x:c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</x:row>
    <x:row r="9" ht="27" customHeight="1">
      <x:c r="A9" s="44" t="str">
        <x:v>계획량
(가상)</x:v>
      </x:c>
      <x:c r="B9" s="44" t="str">
        <x:v>단위</x:v>
      </x:c>
      <x:c r="C9" s="44" t="str">
        <x:v>규격</x:v>
      </x:c>
      <x:c r="D9" s="44" t="str">
        <x:v>반입일
(적용 WD)</x:v>
      </x:c>
      <x:c r="E9" s="44" t="str">
        <x:v>반입량
(계획)</x:v>
      </x:c>
      <x:c r="F9" s="44" t="str">
        <x:v>합격량</x:v>
      </x:c>
      <x:c r="G9" s="44"/>
      <x:c r="H9" s="44" t="str">
        <x:v>불합격</x:v>
      </x:c>
      <x:c r="I9" s="44"/>
      <x:c r="J9" s="44" t="str">
        <x:v>출고일
(예정 WD)</x:v>
      </x:c>
      <x:c r="K9" s="44" t="str">
        <x:v>출고량
(계획)</x:v>
      </x:c>
      <x:c r="L9" s="44" t="str">
        <x:v>계획잔량</x:v>
      </x:c>
      <x:c r="M9" s="44" t="str">
        <x:v>검사자</x:v>
      </x:c>
      <x:c r="N9" s="44" t="str">
        <x:v>서명</x:v>
      </x:c>
      <x:c r="O9" s="44" t="str">
        <x:v>사용동 · 공정</x:v>
      </x:c>
    </x:row>
    <x:row r="10" ht="27" customHeight="1">
      <x:c r="A10" s="44"/>
      <x:c r="B10" s="44"/>
      <x:c r="C10" s="44"/>
      <x:c r="D10" s="44"/>
      <x:c r="E10" s="44"/>
      <x:c r="F10" s="44" t="str">
        <x:v>금회</x:v>
      </x:c>
      <x:c r="G10" s="44" t="str">
        <x:v>누계</x:v>
      </x:c>
      <x:c r="H10" s="44" t="str">
        <x:v>수량</x:v>
      </x:c>
      <x:c r="I10" s="44" t="str">
        <x:v>사유</x:v>
      </x:c>
      <x:c r="J10" s="44"/>
      <x:c r="K10" s="44"/>
      <x:c r="L10" s="44"/>
      <x:c r="M10" s="44"/>
      <x:c r="N10" s="44"/>
      <x:c r="O10" s="44"/>
    </x:row>
    <x:row r="11" ht="40" customHeight="1">
      <x:c r="A11" s="52" t="n">
        <x:f>IF(COUNTIFS('원자료·매핑'!$D$17:$D$144,"RB-D10",'원자료·매핑'!$O$17:$O$144,"미산정")&gt;0,"미산정",SUMIFS('원자료·매핑'!$O$17:$O$144,'원자료·매핑'!$D$17:$D$144,"RB-D10"))</x:f>
        <x:v>18540</x:v>
      </x:c>
      <x:c r="B11" s="45" t="str">
        <x:v>kg</x:v>
      </x:c>
      <x:c r="C11" s="45" t="str">
        <x:v>D10
SD500 D10 / 부위별 공장 가공
길이 미제공</x:v>
      </x:c>
      <x:c r="D11" s="93" t="n">
        <x:f>'원자료·매핑'!R81</x:f>
        <x:v>2</x:v>
      </x:c>
      <x:c r="E11" s="94" t="n">
        <x:f>'원자료·매핑'!O81</x:f>
        <x:v>1630</x:v>
      </x:c>
      <x:c r="F11" s="97"/>
      <x:c r="G11" s="94" t="str">
        <x:f>IF(COUNT(F11:F11)=0,"",SUM(F11:F11))</x:f>
      </x:c>
      <x:c r="H11" s="97"/>
      <x:c r="I11" s="98"/>
      <x:c r="J11" s="93"/>
      <x:c r="K11" s="94"/>
      <x:c r="L11" s="94" t="n">
        <x:f>IF(OR(E11="미산정",K11="미산정"),"미산정",IF(ISNUMBER('원자료·매핑'!$B$9),'원자료·매핑'!$B$9+SUM(E11)-SUM(K11),"미산정"))</x:f>
        <x:v>1630</x:v>
      </x:c>
      <x:c r="M11" s="98"/>
      <x:c r="N11" s="98"/>
      <x:c r="O11" s="96" t="str">
        <x:f>"104동 / 벽체·기둥 철근배근"&amp;CHAR(10)&amp;IF(D11&lt;='원자료·매핑'!$B$15,"반입 완료(가상)","반입 예정")</x:f>
        <x:v>104동 / 벽체·기둥 철근배근
반입 완료(가상)</x:v>
      </x:c>
    </x:row>
    <x:row r="12" ht="40" customHeight="1">
      <x:c r="A12" s="52"/>
      <x:c r="B12" s="45"/>
      <x:c r="C12" s="45"/>
      <x:c r="D12" s="99"/>
      <x:c r="E12" s="100"/>
      <x:c r="F12" s="97"/>
      <x:c r="G12" s="100" t="str">
        <x:f>IF(COUNT(F11:F12)=0,"",SUM(F11:F12))</x:f>
      </x:c>
      <x:c r="H12" s="97"/>
      <x:c r="I12" s="98"/>
      <x:c r="J12" s="99" t="n">
        <x:f>'원자료·매핑'!I81</x:f>
        <x:v>3</x:v>
      </x:c>
      <x:c r="K12" s="100" t="n">
        <x:f>'원자료·매핑'!O81</x:f>
        <x:v>1630</x:v>
      </x:c>
      <x:c r="L12" s="100" t="n">
        <x:f>IF(OR(E12="미산정",K12="미산정"),"미산정",IF(ISNUMBER(L11),L11+SUM(E12)-SUM(K12),"미산정"))</x:f>
        <x:v>0</x:v>
      </x:c>
      <x:c r="M12" s="98"/>
      <x:c r="N12" s="98"/>
      <x:c r="O12" s="102" t="str">
        <x:f>"104동 / 벽체·기둥 철근배근"&amp;CHAR(10)&amp;IF('원자료·매핑'!U81=0,"미불출",IF('원자료·매핑'!U81=K12,"전량 불출(가상)","부분 불출 "&amp;TEXT('원자료·매핑'!U81,"#,##0")&amp;" / "&amp;TEXT(K12,"#,##0")&amp;" (가상)"))</x:f>
        <x:v>104동 / 벽체·기둥 철근배근
전량 불출(가상)</x:v>
      </x:c>
    </x:row>
    <x:row r="13" ht="40" customHeight="1">
      <x:c r="A13" s="52"/>
      <x:c r="B13" s="45"/>
      <x:c r="C13" s="45"/>
      <x:c r="D13" s="93" t="n">
        <x:f>'원자료·매핑'!R113</x:f>
        <x:v>7</x:v>
      </x:c>
      <x:c r="E13" s="94" t="n">
        <x:f>'원자료·매핑'!O113</x:f>
        <x:v>2000</x:v>
      </x:c>
      <x:c r="F13" s="97"/>
      <x:c r="G13" s="94" t="str">
        <x:f>IF(COUNT(F11:F13)=0,"",SUM(F11:F13))</x:f>
      </x:c>
      <x:c r="H13" s="97"/>
      <x:c r="I13" s="98"/>
      <x:c r="J13" s="93"/>
      <x:c r="K13" s="94"/>
      <x:c r="L13" s="94" t="n">
        <x:f>IF(OR(E13="미산정",K13="미산정"),"미산정",IF(ISNUMBER(L12),L12+SUM(E13)-SUM(K13),"미산정"))</x:f>
        <x:v>2000</x:v>
      </x:c>
      <x:c r="M13" s="98"/>
      <x:c r="N13" s="98"/>
      <x:c r="O13" s="96" t="str">
        <x:f>"105동 / 벽체·기둥 철근배근"&amp;CHAR(10)&amp;IF(D13&lt;='원자료·매핑'!$B$15,"반입 완료(가상)","반입 예정")</x:f>
        <x:v>105동 / 벽체·기둥 철근배근
반입 완료(가상)</x:v>
      </x:c>
    </x:row>
    <x:row r="14" ht="40" customHeight="1">
      <x:c r="A14" s="52"/>
      <x:c r="B14" s="45"/>
      <x:c r="C14" s="45"/>
      <x:c r="D14" s="99"/>
      <x:c r="E14" s="100"/>
      <x:c r="F14" s="97"/>
      <x:c r="G14" s="100" t="str">
        <x:f>IF(COUNT(F11:F14)=0,"",SUM(F11:F14))</x:f>
      </x:c>
      <x:c r="H14" s="97"/>
      <x:c r="I14" s="98"/>
      <x:c r="J14" s="99" t="n">
        <x:f>'원자료·매핑'!I113</x:f>
        <x:v>8</x:v>
      </x:c>
      <x:c r="K14" s="100" t="n">
        <x:f>'원자료·매핑'!O113</x:f>
        <x:v>2000</x:v>
      </x:c>
      <x:c r="L14" s="100" t="n">
        <x:f>IF(OR(E14="미산정",K14="미산정"),"미산정",IF(ISNUMBER(L13),L13+SUM(E14)-SUM(K14),"미산정"))</x:f>
        <x:v>0</x:v>
      </x:c>
      <x:c r="M14" s="98"/>
      <x:c r="N14" s="98"/>
      <x:c r="O14" s="102" t="str">
        <x:f>"105동 / 벽체·기둥 철근배근"&amp;CHAR(10)&amp;IF('원자료·매핑'!U113=0,"미불출",IF('원자료·매핑'!U113=K14,"전량 불출(가상)","부분 불출 "&amp;TEXT('원자료·매핑'!U113,"#,##0")&amp;" / "&amp;TEXT(K14,"#,##0")&amp;" (가상)"))</x:f>
        <x:v>105동 / 벽체·기둥 철근배근
부분 불출 1,200 / 2,000 (가상)</x:v>
      </x:c>
    </x:row>
    <x:row r="15" ht="40" customHeight="1">
      <x:c r="A15" s="52"/>
      <x:c r="B15" s="45"/>
      <x:c r="C15" s="45"/>
      <x:c r="D15" s="93" t="n">
        <x:f>'원자료·매핑'!R107</x:f>
        <x:v>10</x:v>
      </x:c>
      <x:c r="E15" s="94" t="n">
        <x:f>'원자료·매핑'!O107</x:f>
        <x:v>2770</x:v>
      </x:c>
      <x:c r="F15" s="97"/>
      <x:c r="G15" s="94" t="str">
        <x:f>IF(COUNT(F11:F15)=0,"",SUM(F11:F15))</x:f>
      </x:c>
      <x:c r="H15" s="97"/>
      <x:c r="I15" s="98"/>
      <x:c r="J15" s="93"/>
      <x:c r="K15" s="94"/>
      <x:c r="L15" s="94" t="n">
        <x:f>IF(OR(E15="미산정",K15="미산정"),"미산정",IF(ISNUMBER(L14),L14+SUM(E15)-SUM(K15),"미산정"))</x:f>
        <x:v>2770</x:v>
      </x:c>
      <x:c r="M15" s="98"/>
      <x:c r="N15" s="98"/>
      <x:c r="O15" s="96" t="str">
        <x:f>"104동 / 보·슬래브 철근배근"&amp;CHAR(10)&amp;IF(D15&lt;='원자료·매핑'!$B$15,"반입 완료(가상)","반입 예정")</x:f>
        <x:v>104동 / 보·슬래브 철근배근
반입 완료(가상)</x:v>
      </x:c>
    </x:row>
    <x:row r="16" ht="40" customHeight="1">
      <x:c r="A16" s="52"/>
      <x:c r="B16" s="45"/>
      <x:c r="C16" s="45"/>
      <x:c r="D16" s="93" t="n">
        <x:f>'원자료·매핑'!R49</x:f>
        <x:v>17</x:v>
      </x:c>
      <x:c r="E16" s="94" t="n">
        <x:f>'원자료·매핑'!O49</x:f>
        <x:v>1810</x:v>
      </x:c>
      <x:c r="F16" s="97"/>
      <x:c r="G16" s="94" t="str">
        <x:f>IF(COUNT(F11:F16)=0,"",SUM(F11:F16))</x:f>
      </x:c>
      <x:c r="H16" s="97"/>
      <x:c r="I16" s="98"/>
      <x:c r="J16" s="93"/>
      <x:c r="K16" s="94"/>
      <x:c r="L16" s="94" t="n">
        <x:f>IF(OR(E16="미산정",K16="미산정"),"미산정",IF(ISNUMBER(L15),L15+SUM(E16)-SUM(K16),"미산정"))</x:f>
        <x:v>4580</x:v>
      </x:c>
      <x:c r="M16" s="98"/>
      <x:c r="N16" s="98"/>
      <x:c r="O16" s="96" t="str">
        <x:f>"112동 / 벽체·기둥 철근배근"&amp;CHAR(10)&amp;IF(D16&lt;='원자료·매핑'!$B$15,"반입 완료(가상)","반입 예정")</x:f>
        <x:v>112동 / 벽체·기둥 철근배근
반입 예정</x:v>
      </x:c>
    </x:row>
    <x:row r="17" ht="40" customHeight="1">
      <x:c r="A17" s="52"/>
      <x:c r="B17" s="45"/>
      <x:c r="C17" s="45"/>
      <x:c r="D17" s="99"/>
      <x:c r="E17" s="100"/>
      <x:c r="F17" s="97"/>
      <x:c r="G17" s="100" t="str">
        <x:f>IF(COUNT(F11:F17)=0,"",SUM(F11:F17))</x:f>
      </x:c>
      <x:c r="H17" s="97"/>
      <x:c r="I17" s="98"/>
      <x:c r="J17" s="99" t="n">
        <x:f>'원자료·매핑'!I49</x:f>
        <x:v>18</x:v>
      </x:c>
      <x:c r="K17" s="100" t="n">
        <x:f>'원자료·매핑'!O49</x:f>
        <x:v>1810</x:v>
      </x:c>
      <x:c r="L17" s="100" t="n">
        <x:f>IF(OR(E17="미산정",K17="미산정"),"미산정",IF(ISNUMBER(L16),L16+SUM(E17)-SUM(K17),"미산정"))</x:f>
        <x:v>2770</x:v>
      </x:c>
      <x:c r="M17" s="98"/>
      <x:c r="N17" s="98"/>
      <x:c r="O17" s="102" t="str">
        <x:f>"112동 / 벽체·기둥 철근배근"&amp;CHAR(10)&amp;IF('원자료·매핑'!U49=0,"미불출",IF('원자료·매핑'!U49=K17,"전량 불출(가상)","부분 불출 "&amp;TEXT('원자료·매핑'!U49,"#,##0")&amp;" / "&amp;TEXT(K17,"#,##0")&amp;" (가상)"))</x:f>
        <x:v>112동 / 벽체·기둥 철근배근
미불출</x:v>
      </x:c>
    </x:row>
    <x:row r="18" ht="40" customHeight="1">
      <x:c r="A18" s="52"/>
      <x:c r="B18" s="45"/>
      <x:c r="C18" s="45"/>
      <x:c r="D18" s="99"/>
      <x:c r="E18" s="100"/>
      <x:c r="F18" s="97"/>
      <x:c r="G18" s="100" t="str">
        <x:f>IF(COUNT(F11:F18)=0,"",SUM(F11:F18))</x:f>
      </x:c>
      <x:c r="H18" s="97"/>
      <x:c r="I18" s="98"/>
      <x:c r="J18" s="99" t="n">
        <x:f>'원자료·매핑'!I107</x:f>
        <x:v>22</x:v>
      </x:c>
      <x:c r="K18" s="100" t="n">
        <x:f>'원자료·매핑'!O107</x:f>
        <x:v>2770</x:v>
      </x:c>
      <x:c r="L18" s="100" t="n">
        <x:f>IF(OR(E18="미산정",K18="미산정"),"미산정",IF(ISNUMBER(L17),L17+SUM(E18)-SUM(K18),"미산정"))</x:f>
        <x:v>0</x:v>
      </x:c>
      <x:c r="M18" s="98"/>
      <x:c r="N18" s="98"/>
      <x:c r="O18" s="102" t="str">
        <x:f>"104동 / 보·슬래브 철근배근"&amp;CHAR(10)&amp;IF('원자료·매핑'!U107=0,"미불출",IF('원자료·매핑'!U107=K18,"전량 불출(가상)","부분 불출 "&amp;TEXT('원자료·매핑'!U107,"#,##0")&amp;" / "&amp;TEXT(K18,"#,##0")&amp;" (가상)"))</x:f>
        <x:v>104동 / 보·슬래브 철근배근
미불출</x:v>
      </x:c>
    </x:row>
    <x:row r="19" ht="40" customHeight="1">
      <x:c r="A19" s="52"/>
      <x:c r="B19" s="45"/>
      <x:c r="C19" s="45"/>
      <x:c r="D19" s="93" t="n">
        <x:f>'원자료·매핑'!R139</x:f>
        <x:v>26</x:v>
      </x:c>
      <x:c r="E19" s="94" t="n">
        <x:f>'원자료·매핑'!O139</x:f>
        <x:v>3250</x:v>
      </x:c>
      <x:c r="F19" s="97"/>
      <x:c r="G19" s="94" t="str">
        <x:f>IF(COUNT(F11:F19)=0,"",SUM(F11:F19))</x:f>
      </x:c>
      <x:c r="H19" s="97"/>
      <x:c r="I19" s="98"/>
      <x:c r="J19" s="93"/>
      <x:c r="K19" s="94"/>
      <x:c r="L19" s="94" t="n">
        <x:f>IF(OR(E19="미산정",K19="미산정"),"미산정",IF(ISNUMBER(L18),L18+SUM(E19)-SUM(K19),"미산정"))</x:f>
        <x:v>3250</x:v>
      </x:c>
      <x:c r="M19" s="98"/>
      <x:c r="N19" s="98"/>
      <x:c r="O19" s="96" t="str">
        <x:f>"105동 / 보·슬래브 철근배근"&amp;CHAR(10)&amp;IF(D19&lt;='원자료·매핑'!$B$15,"반입 완료(가상)","반입 예정")</x:f>
        <x:v>105동 / 보·슬래브 철근배근
반입 예정</x:v>
      </x:c>
    </x:row>
    <x:row r="20" ht="40" customHeight="1">
      <x:c r="A20" s="52"/>
      <x:c r="B20" s="45"/>
      <x:c r="C20" s="45"/>
      <x:c r="D20" s="99"/>
      <x:c r="E20" s="100"/>
      <x:c r="F20" s="97"/>
      <x:c r="G20" s="100" t="str">
        <x:f>IF(COUNT(F11:F20)=0,"",SUM(F11:F20))</x:f>
      </x:c>
      <x:c r="H20" s="97"/>
      <x:c r="I20" s="98"/>
      <x:c r="J20" s="99" t="n">
        <x:f>'원자료·매핑'!I139</x:f>
        <x:v>27</x:v>
      </x:c>
      <x:c r="K20" s="100" t="n">
        <x:f>'원자료·매핑'!O139</x:f>
        <x:v>3250</x:v>
      </x:c>
      <x:c r="L20" s="100" t="n">
        <x:f>IF(OR(E20="미산정",K20="미산정"),"미산정",IF(ISNUMBER(L19),L19+SUM(E20)-SUM(K20),"미산정"))</x:f>
        <x:v>0</x:v>
      </x:c>
      <x:c r="M20" s="98"/>
      <x:c r="N20" s="98"/>
      <x:c r="O20" s="102" t="str">
        <x:f>"105동 / 보·슬래브 철근배근"&amp;CHAR(10)&amp;IF('원자료·매핑'!U139=0,"미불출",IF('원자료·매핑'!U139=K20,"전량 불출(가상)","부분 불출 "&amp;TEXT('원자료·매핑'!U139,"#,##0")&amp;" / "&amp;TEXT(K20,"#,##0")&amp;" (가상)"))</x:f>
        <x:v>105동 / 보·슬래브 철근배근
미불출</x:v>
      </x:c>
    </x:row>
    <x:row r="21" ht="40" customHeight="1">
      <x:c r="A21" s="52"/>
      <x:c r="B21" s="45"/>
      <x:c r="C21" s="45"/>
      <x:c r="D21" s="93" t="n">
        <x:f>'원자료·매핑'!R75</x:f>
        <x:v>36</x:v>
      </x:c>
      <x:c r="E21" s="94" t="n">
        <x:f>'원자료·매핑'!O75</x:f>
        <x:v>3010</x:v>
      </x:c>
      <x:c r="F21" s="97"/>
      <x:c r="G21" s="94" t="str">
        <x:f>IF(COUNT(F11:F21)=0,"",SUM(F11:F21))</x:f>
      </x:c>
      <x:c r="H21" s="97"/>
      <x:c r="I21" s="98"/>
      <x:c r="J21" s="93"/>
      <x:c r="K21" s="94"/>
      <x:c r="L21" s="94" t="n">
        <x:f>IF(OR(E21="미산정",K21="미산정"),"미산정",IF(ISNUMBER(L20),L20+SUM(E21)-SUM(K21),"미산정"))</x:f>
        <x:v>3010</x:v>
      </x:c>
      <x:c r="M21" s="98"/>
      <x:c r="N21" s="98"/>
      <x:c r="O21" s="96" t="str">
        <x:f>"112동 / 보·슬래브 철근배근"&amp;CHAR(10)&amp;IF(D21&lt;='원자료·매핑'!$B$15,"반입 완료(가상)","반입 예정")</x:f>
        <x:v>112동 / 보·슬래브 철근배근
반입 예정</x:v>
      </x:c>
    </x:row>
    <x:row r="22" ht="40" customHeight="1">
      <x:c r="A22" s="52"/>
      <x:c r="B22" s="45"/>
      <x:c r="C22" s="45"/>
      <x:c r="D22" s="99"/>
      <x:c r="E22" s="100"/>
      <x:c r="F22" s="97"/>
      <x:c r="G22" s="100" t="str">
        <x:f>IF(COUNT(F11:F22)=0,"",SUM(F11:F22))</x:f>
      </x:c>
      <x:c r="H22" s="97"/>
      <x:c r="I22" s="98"/>
      <x:c r="J22" s="99" t="n">
        <x:f>'원자료·매핑'!I75</x:f>
        <x:v>37</x:v>
      </x:c>
      <x:c r="K22" s="100" t="n">
        <x:f>'원자료·매핑'!O75</x:f>
        <x:v>3010</x:v>
      </x:c>
      <x:c r="L22" s="100" t="n">
        <x:f>IF(OR(E22="미산정",K22="미산정"),"미산정",IF(ISNUMBER(L21),L21+SUM(E22)-SUM(K22),"미산정"))</x:f>
        <x:v>0</x:v>
      </x:c>
      <x:c r="M22" s="98"/>
      <x:c r="N22" s="98"/>
      <x:c r="O22" s="102" t="str">
        <x:f>"112동 / 보·슬래브 철근배근"&amp;CHAR(10)&amp;IF('원자료·매핑'!U75=0,"미불출",IF('원자료·매핑'!U75=K22,"전량 불출(가상)","부분 불출 "&amp;TEXT('원자료·매핑'!U75,"#,##0")&amp;" / "&amp;TEXT(K22,"#,##0")&amp;" (가상)"))</x:f>
        <x:v>112동 / 보·슬래브 철근배근
미불출</x:v>
      </x:c>
    </x:row>
    <x:row r="23" ht="40" customHeight="1">
      <x:c r="A23" s="52"/>
      <x:c r="B23" s="45"/>
      <x:c r="C23" s="45"/>
      <x:c r="D23" s="93" t="n">
        <x:f>'원자료·매핑'!R17</x:f>
        <x:v>42</x:v>
      </x:c>
      <x:c r="E23" s="94" t="n">
        <x:f>'원자료·매핑'!O17</x:f>
        <x:v>1550</x:v>
      </x:c>
      <x:c r="F23" s="97"/>
      <x:c r="G23" s="94" t="str">
        <x:f>IF(COUNT(F11:F23)=0,"",SUM(F11:F23))</x:f>
      </x:c>
      <x:c r="H23" s="97"/>
      <x:c r="I23" s="98"/>
      <x:c r="J23" s="93"/>
      <x:c r="K23" s="94"/>
      <x:c r="L23" s="94" t="n">
        <x:f>IF(OR(E23="미산정",K23="미산정"),"미산정",IF(ISNUMBER(L22),L22+SUM(E23)-SUM(K23),"미산정"))</x:f>
        <x:v>1550</x:v>
      </x:c>
      <x:c r="M23" s="98"/>
      <x:c r="N23" s="98"/>
      <x:c r="O23" s="96" t="str">
        <x:f>"113동 / 벽체·기둥 철근배근"&amp;CHAR(10)&amp;IF(D23&lt;='원자료·매핑'!$B$15,"반입 완료(가상)","반입 예정")</x:f>
        <x:v>113동 / 벽체·기둥 철근배근
반입 예정</x:v>
      </x:c>
    </x:row>
    <x:row r="24" ht="40" customHeight="1">
      <x:c r="A24" s="52"/>
      <x:c r="B24" s="45"/>
      <x:c r="C24" s="45"/>
      <x:c r="D24" s="99"/>
      <x:c r="E24" s="100"/>
      <x:c r="F24" s="97"/>
      <x:c r="G24" s="100" t="str">
        <x:f>IF(COUNT(F11:F24)=0,"",SUM(F11:F24))</x:f>
      </x:c>
      <x:c r="H24" s="97"/>
      <x:c r="I24" s="98"/>
      <x:c r="J24" s="99" t="n">
        <x:f>'원자료·매핑'!I17</x:f>
        <x:v>43</x:v>
      </x:c>
      <x:c r="K24" s="100" t="n">
        <x:f>'원자료·매핑'!O17</x:f>
        <x:v>1550</x:v>
      </x:c>
      <x:c r="L24" s="100" t="n">
        <x:f>IF(OR(E24="미산정",K24="미산정"),"미산정",IF(ISNUMBER(L23),L23+SUM(E24)-SUM(K24),"미산정"))</x:f>
        <x:v>0</x:v>
      </x:c>
      <x:c r="M24" s="98"/>
      <x:c r="N24" s="98"/>
      <x:c r="O24" s="102" t="str">
        <x:f>"113동 / 벽체·기둥 철근배근"&amp;CHAR(10)&amp;IF('원자료·매핑'!U17=0,"미불출",IF('원자료·매핑'!U17=K24,"전량 불출(가상)","부분 불출 "&amp;TEXT('원자료·매핑'!U17,"#,##0")&amp;" / "&amp;TEXT(K24,"#,##0")&amp;" (가상)"))</x:f>
        <x:v>113동 / 벽체·기둥 철근배근
미불출</x:v>
      </x:c>
    </x:row>
    <x:row r="25" ht="40" customHeight="1">
      <x:c r="A25" s="52"/>
      <x:c r="B25" s="45"/>
      <x:c r="C25" s="45"/>
      <x:c r="D25" s="93" t="n">
        <x:f>'원자료·매핑'!R43</x:f>
        <x:v>61</x:v>
      </x:c>
      <x:c r="E25" s="94" t="n">
        <x:f>'원자료·매핑'!O43</x:f>
        <x:v>2520</x:v>
      </x:c>
      <x:c r="F25" s="97"/>
      <x:c r="G25" s="94" t="str">
        <x:f>IF(COUNT(F11:F25)=0,"",SUM(F11:F25))</x:f>
      </x:c>
      <x:c r="H25" s="97"/>
      <x:c r="I25" s="98"/>
      <x:c r="J25" s="93"/>
      <x:c r="K25" s="94"/>
      <x:c r="L25" s="94" t="n">
        <x:f>IF(OR(E25="미산정",K25="미산정"),"미산정",IF(ISNUMBER(L24),L24+SUM(E25)-SUM(K25),"미산정"))</x:f>
        <x:v>2520</x:v>
      </x:c>
      <x:c r="M25" s="98"/>
      <x:c r="N25" s="98"/>
      <x:c r="O25" s="96" t="str">
        <x:f>"113동 / 보·슬래브 철근배근"&amp;CHAR(10)&amp;IF(D25&lt;='원자료·매핑'!$B$15,"반입 완료(가상)","반입 예정")</x:f>
        <x:v>113동 / 보·슬래브 철근배근
반입 예정</x:v>
      </x:c>
    </x:row>
    <x:row r="26" ht="40" customHeight="1">
      <x:c r="A26" s="52"/>
      <x:c r="B26" s="45"/>
      <x:c r="C26" s="45"/>
      <x:c r="D26" s="99"/>
      <x:c r="E26" s="100"/>
      <x:c r="F26" s="97"/>
      <x:c r="G26" s="100" t="str">
        <x:f>IF(COUNT(F11:F26)=0,"",SUM(F11:F26))</x:f>
      </x:c>
      <x:c r="H26" s="97"/>
      <x:c r="I26" s="98"/>
      <x:c r="J26" s="99" t="n">
        <x:f>'원자료·매핑'!I43</x:f>
        <x:v>62</x:v>
      </x:c>
      <x:c r="K26" s="100" t="n">
        <x:f>'원자료·매핑'!O43</x:f>
        <x:v>2520</x:v>
      </x:c>
      <x:c r="L26" s="100" t="n">
        <x:f>IF(OR(E26="미산정",K26="미산정"),"미산정",IF(ISNUMBER(L25),L25+SUM(E26)-SUM(K26),"미산정"))</x:f>
        <x:v>0</x:v>
      </x:c>
      <x:c r="M26" s="98"/>
      <x:c r="N26" s="98"/>
      <x:c r="O26" s="102" t="str">
        <x:f>"113동 / 보·슬래브 철근배근"&amp;CHAR(10)&amp;IF('원자료·매핑'!U43=0,"미불출",IF('원자료·매핑'!U43=K26,"전량 불출(가상)","부분 불출 "&amp;TEXT('원자료·매핑'!U43,"#,##0")&amp;" / "&amp;TEXT(K26,"#,##0")&amp;" (가상)"))</x:f>
        <x:v>113동 / 보·슬래브 철근배근
미불출</x:v>
      </x:c>
    </x:row>
    <x:row r="27" ht="32" customHeight="1">
      <x:c r="A27" s="53" t="str">
        <x:v>합계 / 최종 계획잔량</x:v>
      </x:c>
      <x:c r="B27" s="49"/>
      <x:c r="C27" s="49"/>
      <x:c r="D27" s="63"/>
      <x:c r="E27" s="64" t="n">
        <x:f>IF(COUNTIFS(E11:E26,"미산정")&gt;0,"미산정",SUM(E11:E26))</x:f>
        <x:v>18540</x:v>
      </x:c>
      <x:c r="F27" s="64" t="str">
        <x:f>IF(COUNT(F11:F26)=0,"",SUM(F11:F26))</x:f>
      </x:c>
      <x:c r="G27" s="64" t="str">
        <x:f>G26</x:f>
      </x:c>
      <x:c r="H27" s="64" t="str">
        <x:f>IF(COUNT(H11:H26)=0,"",SUM(H11:H26))</x:f>
      </x:c>
      <x:c r="I27" s="63"/>
      <x:c r="J27" s="63"/>
      <x:c r="K27" s="64" t="n">
        <x:f>IF(COUNTIFS(K11:K26,"미산정")&gt;0,"미산정",SUM(K11:K26))</x:f>
        <x:v>18540</x:v>
      </x:c>
      <x:c r="L27" s="64" t="n">
        <x:f>L26</x:f>
        <x:v>0</x:v>
      </x:c>
      <x:c r="M27" s="63"/>
      <x:c r="N27" s="63"/>
      <x:c r="O27" s="49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34" customHeight="1">
      <x:c r="A30" s="38" t="str">
        <x:v>02. 주요자재 검사 및 수불부</x:v>
      </x:c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</x:row>
    <x:row r="31" ht="28" customHeight="1">
      <x:c r="A31" s="39" t="str">
        <x:v>품명: 철근 / D13</x:v>
      </x:c>
      <x:c r="B31" s="39"/>
      <x:c r="C31" s="39"/>
      <x:c r="D31" s="39"/>
      <x:c r="E31" s="39"/>
      <x:c r="F31" s="39"/>
      <x:c r="G31" s="39"/>
      <x:c r="H31" s="39"/>
      <x:c r="I31" s="39"/>
      <x:c r="J31" s="39" t="str">
        <x:v>단위: kg / SD500 / 길이 미제공</x:v>
      </x:c>
      <x:c r="K31" s="39"/>
      <x:c r="L31" s="39"/>
      <x:c r="M31" s="39"/>
      <x:c r="N31" s="39"/>
      <x:c r="O31" s="39"/>
    </x:row>
    <x:row r="32" ht="32" customHeight="1">
      <x:c r="A32" s="4" t="str">
        <x:v>반입·불출 수량은 전체 계획. O열에는 기준일 진행 상태를 구분. 사진에서 검사 합격·규격·수량을 확정하지 않음.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 ht="30" customHeight="1">
      <x:c r="A33" s="92" t="str">
        <x:f>"기준 WD "&amp;'원자료·매핑'!$B$15&amp;"  기반입 "&amp;TEXT(SUMIFS('원자료·매핑'!$T$17:$T$144,'원자료·매핑'!$D$17:$D$144,"RB-D13"),"#,##0")&amp;" / 기불출 "&amp;TEXT(SUMIFS('원자료·매핑'!$U$17:$U$144,'원자료·매핑'!$D$17:$D$144,"RB-D13"),"#,##0")&amp;" / 현재 야적 "&amp;TEXT(SUMIFS('원자료·매핑'!$V$17:$V$144,'원자료·매핑'!$D$17:$D$144,"RB-D13"),"#,##0")&amp;" (가상)"</x:f>
        <x:v>기준 WD 10  기반입 12,340 / 기불출 4,234 / 현재 야적 8,106 (가상)</x:v>
      </x:c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</x:row>
    <x:row r="34" ht="27" customHeight="1">
      <x:c r="A34" s="44" t="str">
        <x:v>계획량
(가상)</x:v>
      </x:c>
      <x:c r="B34" s="44" t="str">
        <x:v>단위</x:v>
      </x:c>
      <x:c r="C34" s="44" t="str">
        <x:v>규격</x:v>
      </x:c>
      <x:c r="D34" s="44" t="str">
        <x:v>반입일
(적용 WD)</x:v>
      </x:c>
      <x:c r="E34" s="44" t="str">
        <x:v>반입량
(계획)</x:v>
      </x:c>
      <x:c r="F34" s="44" t="str">
        <x:v>합격량</x:v>
      </x:c>
      <x:c r="G34" s="44"/>
      <x:c r="H34" s="44" t="str">
        <x:v>불합격</x:v>
      </x:c>
      <x:c r="I34" s="44"/>
      <x:c r="J34" s="44" t="str">
        <x:v>출고일
(예정 WD)</x:v>
      </x:c>
      <x:c r="K34" s="44" t="str">
        <x:v>출고량
(계획)</x:v>
      </x:c>
      <x:c r="L34" s="44" t="str">
        <x:v>계획잔량</x:v>
      </x:c>
      <x:c r="M34" s="44" t="str">
        <x:v>검사자</x:v>
      </x:c>
      <x:c r="N34" s="44" t="str">
        <x:v>서명</x:v>
      </x:c>
      <x:c r="O34" s="44" t="str">
        <x:v>사용동 · 공정</x:v>
      </x:c>
    </x:row>
    <x:row r="35" ht="27" customHeight="1">
      <x:c r="A35" s="44"/>
      <x:c r="B35" s="44"/>
      <x:c r="C35" s="44"/>
      <x:c r="D35" s="44"/>
      <x:c r="E35" s="44"/>
      <x:c r="F35" s="44" t="str">
        <x:v>금회</x:v>
      </x:c>
      <x:c r="G35" s="44" t="str">
        <x:v>누계</x:v>
      </x:c>
      <x:c r="H35" s="44" t="str">
        <x:v>수량</x:v>
      </x:c>
      <x:c r="I35" s="44" t="str">
        <x:v>사유</x:v>
      </x:c>
      <x:c r="J35" s="44"/>
      <x:c r="K35" s="44"/>
      <x:c r="L35" s="44"/>
      <x:c r="M35" s="44"/>
      <x:c r="N35" s="44"/>
      <x:c r="O35" s="44"/>
    </x:row>
    <x:row r="36" ht="40" customHeight="1">
      <x:c r="A36" s="52" t="n">
        <x:f>IF(COUNTIFS('원자료·매핑'!$D$17:$D$144,"RB-D13",'원자료·매핑'!$O$17:$O$144,"미산정")&gt;0,"미산정",SUMIFS('원자료·매핑'!$O$17:$O$144,'원자료·매핑'!$D$17:$D$144,"RB-D13"))</x:f>
        <x:v>39300</x:v>
      </x:c>
      <x:c r="B36" s="45" t="str">
        <x:v>kg</x:v>
      </x:c>
      <x:c r="C36" s="45" t="str">
        <x:v>D13
SD500 D13 / 부위별 공장 가공
길이 미제공</x:v>
      </x:c>
      <x:c r="D36" s="93" t="n">
        <x:f>'원자료·매핑'!R82</x:f>
        <x:v>2</x:v>
      </x:c>
      <x:c r="E36" s="94" t="n">
        <x:f>'원자료·매핑'!O82</x:f>
        <x:v>2440</x:v>
      </x:c>
      <x:c r="F36" s="97"/>
      <x:c r="G36" s="94" t="str">
        <x:f>IF(COUNT(F36:F36)=0,"",SUM(F36:F36))</x:f>
      </x:c>
      <x:c r="H36" s="97"/>
      <x:c r="I36" s="98"/>
      <x:c r="J36" s="93"/>
      <x:c r="K36" s="94"/>
      <x:c r="L36" s="94" t="n">
        <x:f>IF(OR(E36="미산정",K36="미산정"),"미산정",IF(ISNUMBER('원자료·매핑'!$B$9),'원자료·매핑'!$B$9+SUM(E36)-SUM(K36),"미산정"))</x:f>
        <x:v>2440</x:v>
      </x:c>
      <x:c r="M36" s="98"/>
      <x:c r="N36" s="98"/>
      <x:c r="O36" s="96" t="str">
        <x:f>"104동 / 벽체·기둥 철근배근"&amp;CHAR(10)&amp;IF(D36&lt;='원자료·매핑'!$B$15,"반입 완료(가상)","반입 예정")</x:f>
        <x:v>104동 / 벽체·기둥 철근배근
반입 완료(가상)</x:v>
      </x:c>
    </x:row>
    <x:row r="37" ht="40" customHeight="1">
      <x:c r="A37" s="52"/>
      <x:c r="B37" s="45"/>
      <x:c r="C37" s="45"/>
      <x:c r="D37" s="99"/>
      <x:c r="E37" s="100"/>
      <x:c r="F37" s="97"/>
      <x:c r="G37" s="100" t="str">
        <x:f>IF(COUNT(F36:F37)=0,"",SUM(F36:F37))</x:f>
      </x:c>
      <x:c r="H37" s="97"/>
      <x:c r="I37" s="98"/>
      <x:c r="J37" s="99" t="n">
        <x:f>'원자료·매핑'!I82</x:f>
        <x:v>3</x:v>
      </x:c>
      <x:c r="K37" s="100" t="n">
        <x:f>'원자료·매핑'!O82</x:f>
        <x:v>2440</x:v>
      </x:c>
      <x:c r="L37" s="100" t="n">
        <x:f>IF(OR(E37="미산정",K37="미산정"),"미산정",IF(ISNUMBER(L36),L36+SUM(E37)-SUM(K37),"미산정"))</x:f>
        <x:v>0</x:v>
      </x:c>
      <x:c r="M37" s="98"/>
      <x:c r="N37" s="98"/>
      <x:c r="O37" s="102" t="str">
        <x:f>"104동 / 벽체·기둥 철근배근"&amp;CHAR(10)&amp;IF('원자료·매핑'!U82=0,"미불출",IF('원자료·매핑'!U82=K37,"전량 불출(가상)","부분 불출 "&amp;TEXT('원자료·매핑'!U82,"#,##0")&amp;" / "&amp;TEXT(K37,"#,##0")&amp;" (가상)"))</x:f>
        <x:v>104동 / 벽체·기둥 철근배근
전량 불출(가상)</x:v>
      </x:c>
    </x:row>
    <x:row r="38" ht="40" customHeight="1">
      <x:c r="A38" s="52"/>
      <x:c r="B38" s="45"/>
      <x:c r="C38" s="45"/>
      <x:c r="D38" s="93" t="n">
        <x:f>'원자료·매핑'!R114</x:f>
        <x:v>7</x:v>
      </x:c>
      <x:c r="E38" s="94" t="n">
        <x:f>'원자료·매핑'!O114</x:f>
        <x:v>2990</x:v>
      </x:c>
      <x:c r="F38" s="97"/>
      <x:c r="G38" s="94" t="str">
        <x:f>IF(COUNT(F36:F38)=0,"",SUM(F36:F38))</x:f>
      </x:c>
      <x:c r="H38" s="97"/>
      <x:c r="I38" s="98"/>
      <x:c r="J38" s="93"/>
      <x:c r="K38" s="94"/>
      <x:c r="L38" s="94" t="n">
        <x:f>IF(OR(E38="미산정",K38="미산정"),"미산정",IF(ISNUMBER(L37),L37+SUM(E38)-SUM(K38),"미산정"))</x:f>
        <x:v>2990</x:v>
      </x:c>
      <x:c r="M38" s="98"/>
      <x:c r="N38" s="98"/>
      <x:c r="O38" s="96" t="str">
        <x:f>"105동 / 벽체·기둥 철근배근"&amp;CHAR(10)&amp;IF(D38&lt;='원자료·매핑'!$B$15,"반입 완료(가상)","반입 예정")</x:f>
        <x:v>105동 / 벽체·기둥 철근배근
반입 완료(가상)</x:v>
      </x:c>
    </x:row>
    <x:row r="39" ht="40" customHeight="1">
      <x:c r="A39" s="52"/>
      <x:c r="B39" s="45"/>
      <x:c r="C39" s="45"/>
      <x:c r="D39" s="99"/>
      <x:c r="E39" s="100"/>
      <x:c r="F39" s="97"/>
      <x:c r="G39" s="100" t="str">
        <x:f>IF(COUNT(F36:F39)=0,"",SUM(F36:F39))</x:f>
      </x:c>
      <x:c r="H39" s="97"/>
      <x:c r="I39" s="98"/>
      <x:c r="J39" s="99" t="n">
        <x:f>'원자료·매핑'!I114</x:f>
        <x:v>8</x:v>
      </x:c>
      <x:c r="K39" s="100" t="n">
        <x:f>'원자료·매핑'!O114</x:f>
        <x:v>2990</x:v>
      </x:c>
      <x:c r="L39" s="100" t="n">
        <x:f>IF(OR(E39="미산정",K39="미산정"),"미산정",IF(ISNUMBER(L38),L38+SUM(E39)-SUM(K39),"미산정"))</x:f>
        <x:v>0</x:v>
      </x:c>
      <x:c r="M39" s="98"/>
      <x:c r="N39" s="98"/>
      <x:c r="O39" s="102" t="str">
        <x:f>"105동 / 벽체·기둥 철근배근"&amp;CHAR(10)&amp;IF('원자료·매핑'!U114=0,"미불출",IF('원자료·매핑'!U114=K39,"전량 불출(가상)","부분 불출 "&amp;TEXT('원자료·매핑'!U114,"#,##0")&amp;" / "&amp;TEXT(K39,"#,##0")&amp;" (가상)"))</x:f>
        <x:v>105동 / 벽체·기둥 철근배근
부분 불출 1,794 / 2,990 (가상)</x:v>
      </x:c>
    </x:row>
    <x:row r="40" ht="40" customHeight="1">
      <x:c r="A40" s="52"/>
      <x:c r="B40" s="45"/>
      <x:c r="C40" s="45"/>
      <x:c r="D40" s="93" t="n">
        <x:f>'원자료·매핑'!R108</x:f>
        <x:v>10</x:v>
      </x:c>
      <x:c r="E40" s="94" t="n">
        <x:f>'원자료·매핑'!O108</x:f>
        <x:v>6910</x:v>
      </x:c>
      <x:c r="F40" s="97"/>
      <x:c r="G40" s="94" t="str">
        <x:f>IF(COUNT(F36:F40)=0,"",SUM(F36:F40))</x:f>
      </x:c>
      <x:c r="H40" s="97"/>
      <x:c r="I40" s="98"/>
      <x:c r="J40" s="93"/>
      <x:c r="K40" s="94"/>
      <x:c r="L40" s="94" t="n">
        <x:f>IF(OR(E40="미산정",K40="미산정"),"미산정",IF(ISNUMBER(L39),L39+SUM(E40)-SUM(K40),"미산정"))</x:f>
        <x:v>6910</x:v>
      </x:c>
      <x:c r="M40" s="98"/>
      <x:c r="N40" s="98"/>
      <x:c r="O40" s="96" t="str">
        <x:f>"104동 / 보·슬래브 철근배근"&amp;CHAR(10)&amp;IF(D40&lt;='원자료·매핑'!$B$15,"반입 완료(가상)","반입 예정")</x:f>
        <x:v>104동 / 보·슬래브 철근배근
반입 완료(가상)</x:v>
      </x:c>
    </x:row>
    <x:row r="41" ht="40" customHeight="1">
      <x:c r="A41" s="52"/>
      <x:c r="B41" s="45"/>
      <x:c r="C41" s="45"/>
      <x:c r="D41" s="93" t="n">
        <x:f>'원자료·매핑'!R50</x:f>
        <x:v>17</x:v>
      </x:c>
      <x:c r="E41" s="94" t="n">
        <x:f>'원자료·매핑'!O50</x:f>
        <x:v>2710</x:v>
      </x:c>
      <x:c r="F41" s="97"/>
      <x:c r="G41" s="94" t="str">
        <x:f>IF(COUNT(F36:F41)=0,"",SUM(F36:F41))</x:f>
      </x:c>
      <x:c r="H41" s="97"/>
      <x:c r="I41" s="98"/>
      <x:c r="J41" s="93"/>
      <x:c r="K41" s="94"/>
      <x:c r="L41" s="94" t="n">
        <x:f>IF(OR(E41="미산정",K41="미산정"),"미산정",IF(ISNUMBER(L40),L40+SUM(E41)-SUM(K41),"미산정"))</x:f>
        <x:v>9620</x:v>
      </x:c>
      <x:c r="M41" s="98"/>
      <x:c r="N41" s="98"/>
      <x:c r="O41" s="96" t="str">
        <x:f>"112동 / 벽체·기둥 철근배근"&amp;CHAR(10)&amp;IF(D41&lt;='원자료·매핑'!$B$15,"반입 완료(가상)","반입 예정")</x:f>
        <x:v>112동 / 벽체·기둥 철근배근
반입 예정</x:v>
      </x:c>
    </x:row>
    <x:row r="42" ht="40" customHeight="1">
      <x:c r="A42" s="52"/>
      <x:c r="B42" s="45"/>
      <x:c r="C42" s="45"/>
      <x:c r="D42" s="99"/>
      <x:c r="E42" s="100"/>
      <x:c r="F42" s="97"/>
      <x:c r="G42" s="100" t="str">
        <x:f>IF(COUNT(F36:F42)=0,"",SUM(F36:F42))</x:f>
      </x:c>
      <x:c r="H42" s="97"/>
      <x:c r="I42" s="98"/>
      <x:c r="J42" s="99" t="n">
        <x:f>'원자료·매핑'!I50</x:f>
        <x:v>18</x:v>
      </x:c>
      <x:c r="K42" s="100" t="n">
        <x:f>'원자료·매핑'!O50</x:f>
        <x:v>2710</x:v>
      </x:c>
      <x:c r="L42" s="100" t="n">
        <x:f>IF(OR(E42="미산정",K42="미산정"),"미산정",IF(ISNUMBER(L41),L41+SUM(E42)-SUM(K42),"미산정"))</x:f>
        <x:v>6910</x:v>
      </x:c>
      <x:c r="M42" s="98"/>
      <x:c r="N42" s="98"/>
      <x:c r="O42" s="102" t="str">
        <x:f>"112동 / 벽체·기둥 철근배근"&amp;CHAR(10)&amp;IF('원자료·매핑'!U50=0,"미불출",IF('원자료·매핑'!U50=K42,"전량 불출(가상)","부분 불출 "&amp;TEXT('원자료·매핑'!U50,"#,##0")&amp;" / "&amp;TEXT(K42,"#,##0")&amp;" (가상)"))</x:f>
        <x:v>112동 / 벽체·기둥 철근배근
미불출</x:v>
      </x:c>
    </x:row>
    <x:row r="43" ht="40" customHeight="1">
      <x:c r="A43" s="52"/>
      <x:c r="B43" s="45"/>
      <x:c r="C43" s="45"/>
      <x:c r="D43" s="99"/>
      <x:c r="E43" s="100"/>
      <x:c r="F43" s="97"/>
      <x:c r="G43" s="100" t="str">
        <x:f>IF(COUNT(F36:F43)=0,"",SUM(F36:F43))</x:f>
      </x:c>
      <x:c r="H43" s="97"/>
      <x:c r="I43" s="98"/>
      <x:c r="J43" s="99" t="n">
        <x:f>'원자료·매핑'!I108</x:f>
        <x:v>22</x:v>
      </x:c>
      <x:c r="K43" s="100" t="n">
        <x:f>'원자료·매핑'!O108</x:f>
        <x:v>6910</x:v>
      </x:c>
      <x:c r="L43" s="100" t="n">
        <x:f>IF(OR(E43="미산정",K43="미산정"),"미산정",IF(ISNUMBER(L42),L42+SUM(E43)-SUM(K43),"미산정"))</x:f>
        <x:v>0</x:v>
      </x:c>
      <x:c r="M43" s="98"/>
      <x:c r="N43" s="98"/>
      <x:c r="O43" s="102" t="str">
        <x:f>"104동 / 보·슬래브 철근배근"&amp;CHAR(10)&amp;IF('원자료·매핑'!U108=0,"미불출",IF('원자료·매핑'!U108=K43,"전량 불출(가상)","부분 불출 "&amp;TEXT('원자료·매핑'!U108,"#,##0")&amp;" / "&amp;TEXT(K43,"#,##0")&amp;" (가상)"))</x:f>
        <x:v>104동 / 보·슬래브 철근배근
미불출</x:v>
      </x:c>
    </x:row>
    <x:row r="44" ht="40" customHeight="1">
      <x:c r="A44" s="52"/>
      <x:c r="B44" s="45"/>
      <x:c r="C44" s="45"/>
      <x:c r="D44" s="93" t="n">
        <x:f>'원자료·매핑'!R140</x:f>
        <x:v>26</x:v>
      </x:c>
      <x:c r="E44" s="94" t="n">
        <x:f>'원자료·매핑'!O140</x:f>
        <x:v>8110</x:v>
      </x:c>
      <x:c r="F44" s="97"/>
      <x:c r="G44" s="94" t="str">
        <x:f>IF(COUNT(F36:F44)=0,"",SUM(F36:F44))</x:f>
      </x:c>
      <x:c r="H44" s="97"/>
      <x:c r="I44" s="98"/>
      <x:c r="J44" s="93"/>
      <x:c r="K44" s="94"/>
      <x:c r="L44" s="94" t="n">
        <x:f>IF(OR(E44="미산정",K44="미산정"),"미산정",IF(ISNUMBER(L43),L43+SUM(E44)-SUM(K44),"미산정"))</x:f>
        <x:v>8110</x:v>
      </x:c>
      <x:c r="M44" s="98"/>
      <x:c r="N44" s="98"/>
      <x:c r="O44" s="96" t="str">
        <x:f>"105동 / 보·슬래브 철근배근"&amp;CHAR(10)&amp;IF(D44&lt;='원자료·매핑'!$B$15,"반입 완료(가상)","반입 예정")</x:f>
        <x:v>105동 / 보·슬래브 철근배근
반입 예정</x:v>
      </x:c>
    </x:row>
    <x:row r="45" ht="40" customHeight="1">
      <x:c r="A45" s="52"/>
      <x:c r="B45" s="45"/>
      <x:c r="C45" s="45"/>
      <x:c r="D45" s="99"/>
      <x:c r="E45" s="100"/>
      <x:c r="F45" s="97"/>
      <x:c r="G45" s="100" t="str">
        <x:f>IF(COUNT(F36:F45)=0,"",SUM(F36:F45))</x:f>
      </x:c>
      <x:c r="H45" s="97"/>
      <x:c r="I45" s="98"/>
      <x:c r="J45" s="99" t="n">
        <x:f>'원자료·매핑'!I140</x:f>
        <x:v>27</x:v>
      </x:c>
      <x:c r="K45" s="100" t="n">
        <x:f>'원자료·매핑'!O140</x:f>
        <x:v>8110</x:v>
      </x:c>
      <x:c r="L45" s="100" t="n">
        <x:f>IF(OR(E45="미산정",K45="미산정"),"미산정",IF(ISNUMBER(L44),L44+SUM(E45)-SUM(K45),"미산정"))</x:f>
        <x:v>0</x:v>
      </x:c>
      <x:c r="M45" s="98"/>
      <x:c r="N45" s="98"/>
      <x:c r="O45" s="102" t="str">
        <x:f>"105동 / 보·슬래브 철근배근"&amp;CHAR(10)&amp;IF('원자료·매핑'!U140=0,"미불출",IF('원자료·매핑'!U140=K45,"전량 불출(가상)","부분 불출 "&amp;TEXT('원자료·매핑'!U140,"#,##0")&amp;" / "&amp;TEXT(K45,"#,##0")&amp;" (가상)"))</x:f>
        <x:v>105동 / 보·슬래브 철근배근
미불출</x:v>
      </x:c>
    </x:row>
    <x:row r="46" ht="40" customHeight="1">
      <x:c r="A46" s="52"/>
      <x:c r="B46" s="45"/>
      <x:c r="C46" s="45"/>
      <x:c r="D46" s="93" t="n">
        <x:f>'원자료·매핑'!R76</x:f>
        <x:v>36</x:v>
      </x:c>
      <x:c r="E46" s="94" t="n">
        <x:f>'원자료·매핑'!O76</x:f>
        <x:v>7510</x:v>
      </x:c>
      <x:c r="F46" s="97"/>
      <x:c r="G46" s="94" t="str">
        <x:f>IF(COUNT(F36:F46)=0,"",SUM(F36:F46))</x:f>
      </x:c>
      <x:c r="H46" s="97"/>
      <x:c r="I46" s="98"/>
      <x:c r="J46" s="93"/>
      <x:c r="K46" s="94"/>
      <x:c r="L46" s="94" t="n">
        <x:f>IF(OR(E46="미산정",K46="미산정"),"미산정",IF(ISNUMBER(L45),L45+SUM(E46)-SUM(K46),"미산정"))</x:f>
        <x:v>7510</x:v>
      </x:c>
      <x:c r="M46" s="98"/>
      <x:c r="N46" s="98"/>
      <x:c r="O46" s="96" t="str">
        <x:f>"112동 / 보·슬래브 철근배근"&amp;CHAR(10)&amp;IF(D46&lt;='원자료·매핑'!$B$15,"반입 완료(가상)","반입 예정")</x:f>
        <x:v>112동 / 보·슬래브 철근배근
반입 예정</x:v>
      </x:c>
    </x:row>
    <x:row r="47" ht="40" customHeight="1">
      <x:c r="A47" s="52"/>
      <x:c r="B47" s="45"/>
      <x:c r="C47" s="45"/>
      <x:c r="D47" s="99"/>
      <x:c r="E47" s="100"/>
      <x:c r="F47" s="97"/>
      <x:c r="G47" s="100" t="str">
        <x:f>IF(COUNT(F36:F47)=0,"",SUM(F36:F47))</x:f>
      </x:c>
      <x:c r="H47" s="97"/>
      <x:c r="I47" s="98"/>
      <x:c r="J47" s="99" t="n">
        <x:f>'원자료·매핑'!I76</x:f>
        <x:v>37</x:v>
      </x:c>
      <x:c r="K47" s="100" t="n">
        <x:f>'원자료·매핑'!O76</x:f>
        <x:v>7510</x:v>
      </x:c>
      <x:c r="L47" s="100" t="n">
        <x:f>IF(OR(E47="미산정",K47="미산정"),"미산정",IF(ISNUMBER(L46),L46+SUM(E47)-SUM(K47),"미산정"))</x:f>
        <x:v>0</x:v>
      </x:c>
      <x:c r="M47" s="98"/>
      <x:c r="N47" s="98"/>
      <x:c r="O47" s="102" t="str">
        <x:f>"112동 / 보·슬래브 철근배근"&amp;CHAR(10)&amp;IF('원자료·매핑'!U76=0,"미불출",IF('원자료·매핑'!U76=K47,"전량 불출(가상)","부분 불출 "&amp;TEXT('원자료·매핑'!U76,"#,##0")&amp;" / "&amp;TEXT(K47,"#,##0")&amp;" (가상)"))</x:f>
        <x:v>112동 / 보·슬래브 철근배근
미불출</x:v>
      </x:c>
    </x:row>
    <x:row r="48" ht="40" customHeight="1">
      <x:c r="A48" s="52"/>
      <x:c r="B48" s="45"/>
      <x:c r="C48" s="45"/>
      <x:c r="D48" s="93" t="n">
        <x:f>'원자료·매핑'!R18</x:f>
        <x:v>42</x:v>
      </x:c>
      <x:c r="E48" s="94" t="n">
        <x:f>'원자료·매핑'!O18</x:f>
        <x:v>2330</x:v>
      </x:c>
      <x:c r="F48" s="97"/>
      <x:c r="G48" s="94" t="str">
        <x:f>IF(COUNT(F36:F48)=0,"",SUM(F36:F48))</x:f>
      </x:c>
      <x:c r="H48" s="97"/>
      <x:c r="I48" s="98"/>
      <x:c r="J48" s="93"/>
      <x:c r="K48" s="94"/>
      <x:c r="L48" s="94" t="n">
        <x:f>IF(OR(E48="미산정",K48="미산정"),"미산정",IF(ISNUMBER(L47),L47+SUM(E48)-SUM(K48),"미산정"))</x:f>
        <x:v>2330</x:v>
      </x:c>
      <x:c r="M48" s="98"/>
      <x:c r="N48" s="98"/>
      <x:c r="O48" s="96" t="str">
        <x:f>"113동 / 벽체·기둥 철근배근"&amp;CHAR(10)&amp;IF(D48&lt;='원자료·매핑'!$B$15,"반입 완료(가상)","반입 예정")</x:f>
        <x:v>113동 / 벽체·기둥 철근배근
반입 예정</x:v>
      </x:c>
    </x:row>
    <x:row r="49" ht="40" customHeight="1">
      <x:c r="A49" s="52"/>
      <x:c r="B49" s="45"/>
      <x:c r="C49" s="45"/>
      <x:c r="D49" s="99"/>
      <x:c r="E49" s="100"/>
      <x:c r="F49" s="97"/>
      <x:c r="G49" s="100" t="str">
        <x:f>IF(COUNT(F36:F49)=0,"",SUM(F36:F49))</x:f>
      </x:c>
      <x:c r="H49" s="97"/>
      <x:c r="I49" s="98"/>
      <x:c r="J49" s="99" t="n">
        <x:f>'원자료·매핑'!I18</x:f>
        <x:v>43</x:v>
      </x:c>
      <x:c r="K49" s="100" t="n">
        <x:f>'원자료·매핑'!O18</x:f>
        <x:v>2330</x:v>
      </x:c>
      <x:c r="L49" s="100" t="n">
        <x:f>IF(OR(E49="미산정",K49="미산정"),"미산정",IF(ISNUMBER(L48),L48+SUM(E49)-SUM(K49),"미산정"))</x:f>
        <x:v>0</x:v>
      </x:c>
      <x:c r="M49" s="98"/>
      <x:c r="N49" s="98"/>
      <x:c r="O49" s="102" t="str">
        <x:f>"113동 / 벽체·기둥 철근배근"&amp;CHAR(10)&amp;IF('원자료·매핑'!U18=0,"미불출",IF('원자료·매핑'!U18=K49,"전량 불출(가상)","부분 불출 "&amp;TEXT('원자료·매핑'!U18,"#,##0")&amp;" / "&amp;TEXT(K49,"#,##0")&amp;" (가상)"))</x:f>
        <x:v>113동 / 벽체·기둥 철근배근
미불출</x:v>
      </x:c>
    </x:row>
    <x:row r="50" ht="40" customHeight="1">
      <x:c r="A50" s="52"/>
      <x:c r="B50" s="45"/>
      <x:c r="C50" s="45"/>
      <x:c r="D50" s="93" t="n">
        <x:f>'원자료·매핑'!R44</x:f>
        <x:v>61</x:v>
      </x:c>
      <x:c r="E50" s="94" t="n">
        <x:f>'원자료·매핑'!O44</x:f>
        <x:v>6300</x:v>
      </x:c>
      <x:c r="F50" s="97"/>
      <x:c r="G50" s="94" t="str">
        <x:f>IF(COUNT(F36:F50)=0,"",SUM(F36:F50))</x:f>
      </x:c>
      <x:c r="H50" s="97"/>
      <x:c r="I50" s="98"/>
      <x:c r="J50" s="93"/>
      <x:c r="K50" s="94"/>
      <x:c r="L50" s="94" t="n">
        <x:f>IF(OR(E50="미산정",K50="미산정"),"미산정",IF(ISNUMBER(L49),L49+SUM(E50)-SUM(K50),"미산정"))</x:f>
        <x:v>6300</x:v>
      </x:c>
      <x:c r="M50" s="98"/>
      <x:c r="N50" s="98"/>
      <x:c r="O50" s="96" t="str">
        <x:f>"113동 / 보·슬래브 철근배근"&amp;CHAR(10)&amp;IF(D50&lt;='원자료·매핑'!$B$15,"반입 완료(가상)","반입 예정")</x:f>
        <x:v>113동 / 보·슬래브 철근배근
반입 예정</x:v>
      </x:c>
    </x:row>
    <x:row r="51" ht="40" customHeight="1">
      <x:c r="A51" s="52"/>
      <x:c r="B51" s="45"/>
      <x:c r="C51" s="45"/>
      <x:c r="D51" s="99"/>
      <x:c r="E51" s="100"/>
      <x:c r="F51" s="97"/>
      <x:c r="G51" s="100" t="str">
        <x:f>IF(COUNT(F36:F51)=0,"",SUM(F36:F51))</x:f>
      </x:c>
      <x:c r="H51" s="97"/>
      <x:c r="I51" s="98"/>
      <x:c r="J51" s="99" t="n">
        <x:f>'원자료·매핑'!I44</x:f>
        <x:v>62</x:v>
      </x:c>
      <x:c r="K51" s="100" t="n">
        <x:f>'원자료·매핑'!O44</x:f>
        <x:v>6300</x:v>
      </x:c>
      <x:c r="L51" s="100" t="n">
        <x:f>IF(OR(E51="미산정",K51="미산정"),"미산정",IF(ISNUMBER(L50),L50+SUM(E51)-SUM(K51),"미산정"))</x:f>
        <x:v>0</x:v>
      </x:c>
      <x:c r="M51" s="98"/>
      <x:c r="N51" s="98"/>
      <x:c r="O51" s="102" t="str">
        <x:f>"113동 / 보·슬래브 철근배근"&amp;CHAR(10)&amp;IF('원자료·매핑'!U44=0,"미불출",IF('원자료·매핑'!U44=K51,"전량 불출(가상)","부분 불출 "&amp;TEXT('원자료·매핑'!U44,"#,##0")&amp;" / "&amp;TEXT(K51,"#,##0")&amp;" (가상)"))</x:f>
        <x:v>113동 / 보·슬래브 철근배근
미불출</x:v>
      </x:c>
    </x:row>
    <x:row r="52" ht="32" customHeight="1">
      <x:c r="A52" s="53" t="str">
        <x:v>합계 / 최종 계획잔량</x:v>
      </x:c>
      <x:c r="B52" s="49"/>
      <x:c r="C52" s="49"/>
      <x:c r="D52" s="63"/>
      <x:c r="E52" s="64" t="n">
        <x:f>IF(COUNTIFS(E36:E51,"미산정")&gt;0,"미산정",SUM(E36:E51))</x:f>
        <x:v>39300</x:v>
      </x:c>
      <x:c r="F52" s="64" t="str">
        <x:f>IF(COUNT(F36:F51)=0,"",SUM(F36:F51))</x:f>
      </x:c>
      <x:c r="G52" s="64" t="str">
        <x:f>G51</x:f>
      </x:c>
      <x:c r="H52" s="64" t="str">
        <x:f>IF(COUNT(H36:H51)=0,"",SUM(H36:H51))</x:f>
      </x:c>
      <x:c r="I52" s="63"/>
      <x:c r="J52" s="63"/>
      <x:c r="K52" s="64" t="n">
        <x:f>IF(COUNTIFS(K36:K51,"미산정")&gt;0,"미산정",SUM(K36:K51))</x:f>
        <x:v>39300</x:v>
      </x:c>
      <x:c r="L52" s="64" t="n">
        <x:f>L51</x:f>
        <x:v>0</x:v>
      </x:c>
      <x:c r="M52" s="63"/>
      <x:c r="N52" s="63"/>
      <x:c r="O52" s="49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34" customHeight="1">
      <x:c r="A55" s="38" t="str">
        <x:v>03. 주요자재 검사 및 수불부</x:v>
      </x:c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</x:row>
    <x:row r="56" ht="28" customHeight="1">
      <x:c r="A56" s="39" t="str">
        <x:v>품명: 철근 / D16</x:v>
      </x:c>
      <x:c r="B56" s="39"/>
      <x:c r="C56" s="39"/>
      <x:c r="D56" s="39"/>
      <x:c r="E56" s="39"/>
      <x:c r="F56" s="39"/>
      <x:c r="G56" s="39"/>
      <x:c r="H56" s="39"/>
      <x:c r="I56" s="39"/>
      <x:c r="J56" s="39" t="str">
        <x:v>단위: kg / SD500 / 길이 미제공</x:v>
      </x:c>
      <x:c r="K56" s="39"/>
      <x:c r="L56" s="39"/>
      <x:c r="M56" s="39"/>
      <x:c r="N56" s="39"/>
      <x:c r="O56" s="39"/>
    </x:row>
    <x:row r="57" ht="32" customHeight="1">
      <x:c r="A57" s="4" t="str">
        <x:v>반입·불출 수량은 전체 계획. O열에는 기준일 진행 상태를 구분. 사진에서 검사 합격·규격·수량을 확정하지 않음.</x:v>
      </x:c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 ht="30" customHeight="1">
      <x:c r="A58" s="92" t="str">
        <x:f>"기준 WD "&amp;'원자료·매핑'!$B$15&amp;"  기반입 "&amp;TEXT(SUMIFS('원자료·매핑'!$T$17:$T$144,'원자료·매핑'!$D$17:$D$144,"RB-D16"),"#,##0")&amp;" / 기불출 "&amp;TEXT(SUMIFS('원자료·매핑'!$U$17:$U$144,'원자료·매핑'!$D$17:$D$144,"RB-D16"),"#,##0")&amp;" / 현재 야적 "&amp;TEXT(SUMIFS('원자료·매핑'!$V$17:$V$144,'원자료·매핑'!$D$17:$D$144,"RB-D16"),"#,##0")&amp;" (가상)"</x:f>
        <x:v>기준 WD 10  기반입 12,310 / 기불출 5,284 / 현재 야적 7,026 (가상)</x:v>
      </x:c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</x:row>
    <x:row r="59" ht="27" customHeight="1">
      <x:c r="A59" s="44" t="str">
        <x:v>계획량
(가상)</x:v>
      </x:c>
      <x:c r="B59" s="44" t="str">
        <x:v>단위</x:v>
      </x:c>
      <x:c r="C59" s="44" t="str">
        <x:v>규격</x:v>
      </x:c>
      <x:c r="D59" s="44" t="str">
        <x:v>반입일
(적용 WD)</x:v>
      </x:c>
      <x:c r="E59" s="44" t="str">
        <x:v>반입량
(계획)</x:v>
      </x:c>
      <x:c r="F59" s="44" t="str">
        <x:v>합격량</x:v>
      </x:c>
      <x:c r="G59" s="44"/>
      <x:c r="H59" s="44" t="str">
        <x:v>불합격</x:v>
      </x:c>
      <x:c r="I59" s="44"/>
      <x:c r="J59" s="44" t="str">
        <x:v>출고일
(예정 WD)</x:v>
      </x:c>
      <x:c r="K59" s="44" t="str">
        <x:v>출고량
(계획)</x:v>
      </x:c>
      <x:c r="L59" s="44" t="str">
        <x:v>계획잔량</x:v>
      </x:c>
      <x:c r="M59" s="44" t="str">
        <x:v>검사자</x:v>
      </x:c>
      <x:c r="N59" s="44" t="str">
        <x:v>서명</x:v>
      </x:c>
      <x:c r="O59" s="44" t="str">
        <x:v>사용동 · 공정</x:v>
      </x:c>
    </x:row>
    <x:row r="60" ht="27" customHeight="1">
      <x:c r="A60" s="44"/>
      <x:c r="B60" s="44"/>
      <x:c r="C60" s="44"/>
      <x:c r="D60" s="44"/>
      <x:c r="E60" s="44"/>
      <x:c r="F60" s="44" t="str">
        <x:v>금회</x:v>
      </x:c>
      <x:c r="G60" s="44" t="str">
        <x:v>누계</x:v>
      </x:c>
      <x:c r="H60" s="44" t="str">
        <x:v>수량</x:v>
      </x:c>
      <x:c r="I60" s="44" t="str">
        <x:v>사유</x:v>
      </x:c>
      <x:c r="J60" s="44"/>
      <x:c r="K60" s="44"/>
      <x:c r="L60" s="44"/>
      <x:c r="M60" s="44"/>
      <x:c r="N60" s="44"/>
      <x:c r="O60" s="44"/>
    </x:row>
    <x:row r="61" ht="40" customHeight="1">
      <x:c r="A61" s="52" t="n">
        <x:f>IF(COUNTIFS('원자료·매핑'!$D$17:$D$144,"RB-D16",'원자료·매핑'!$O$17:$O$144,"미산정")&gt;0,"미산정",SUMIFS('원자료·매핑'!$O$17:$O$144,'원자료·매핑'!$D$17:$D$144,"RB-D16"))</x:f>
        <x:v>36150</x:v>
      </x:c>
      <x:c r="B61" s="45" t="str">
        <x:v>kg</x:v>
      </x:c>
      <x:c r="C61" s="45" t="str">
        <x:v>D16
SD500 D16 / 부위별 공장 가공
길이 미제공</x:v>
      </x:c>
      <x:c r="D61" s="93" t="n">
        <x:f>'원자료·매핑'!R83</x:f>
        <x:v>2</x:v>
      </x:c>
      <x:c r="E61" s="94" t="n">
        <x:f>'원자료·매핑'!O83</x:f>
        <x:v>3040</x:v>
      </x:c>
      <x:c r="F61" s="97"/>
      <x:c r="G61" s="94" t="str">
        <x:f>IF(COUNT(F61:F61)=0,"",SUM(F61:F61))</x:f>
      </x:c>
      <x:c r="H61" s="97"/>
      <x:c r="I61" s="98"/>
      <x:c r="J61" s="93"/>
      <x:c r="K61" s="94"/>
      <x:c r="L61" s="94" t="n">
        <x:f>IF(OR(E61="미산정",K61="미산정"),"미산정",IF(ISNUMBER('원자료·매핑'!$B$9),'원자료·매핑'!$B$9+SUM(E61)-SUM(K61),"미산정"))</x:f>
        <x:v>3040</x:v>
      </x:c>
      <x:c r="M61" s="98"/>
      <x:c r="N61" s="98"/>
      <x:c r="O61" s="96" t="str">
        <x:f>"104동 / 벽체·기둥 철근배근"&amp;CHAR(10)&amp;IF(D61&lt;='원자료·매핑'!$B$15,"반입 완료(가상)","반입 예정")</x:f>
        <x:v>104동 / 벽체·기둥 철근배근
반입 완료(가상)</x:v>
      </x:c>
    </x:row>
    <x:row r="62" ht="40" customHeight="1">
      <x:c r="A62" s="52"/>
      <x:c r="B62" s="45"/>
      <x:c r="C62" s="45"/>
      <x:c r="D62" s="99"/>
      <x:c r="E62" s="100"/>
      <x:c r="F62" s="97"/>
      <x:c r="G62" s="100" t="str">
        <x:f>IF(COUNT(F61:F62)=0,"",SUM(F61:F62))</x:f>
      </x:c>
      <x:c r="H62" s="97"/>
      <x:c r="I62" s="98"/>
      <x:c r="J62" s="99" t="n">
        <x:f>'원자료·매핑'!I83</x:f>
        <x:v>3</x:v>
      </x:c>
      <x:c r="K62" s="100" t="n">
        <x:f>'원자료·매핑'!O83</x:f>
        <x:v>3040</x:v>
      </x:c>
      <x:c r="L62" s="100" t="n">
        <x:f>IF(OR(E62="미산정",K62="미산정"),"미산정",IF(ISNUMBER(L61),L61+SUM(E62)-SUM(K62),"미산정"))</x:f>
        <x:v>0</x:v>
      </x:c>
      <x:c r="M62" s="98"/>
      <x:c r="N62" s="98"/>
      <x:c r="O62" s="102" t="str">
        <x:f>"104동 / 벽체·기둥 철근배근"&amp;CHAR(10)&amp;IF('원자료·매핑'!U83=0,"미불출",IF('원자료·매핑'!U83=K62,"전량 불출(가상)","부분 불출 "&amp;TEXT('원자료·매핑'!U83,"#,##0")&amp;" / "&amp;TEXT(K62,"#,##0")&amp;" (가상)"))</x:f>
        <x:v>104동 / 벽체·기둥 철근배근
전량 불출(가상)</x:v>
      </x:c>
    </x:row>
    <x:row r="63" ht="40" customHeight="1">
      <x:c r="A63" s="52"/>
      <x:c r="B63" s="45"/>
      <x:c r="C63" s="45"/>
      <x:c r="D63" s="93" t="n">
        <x:f>'원자료·매핑'!R115</x:f>
        <x:v>7</x:v>
      </x:c>
      <x:c r="E63" s="94" t="n">
        <x:f>'원자료·매핑'!O115</x:f>
        <x:v>3740</x:v>
      </x:c>
      <x:c r="F63" s="97"/>
      <x:c r="G63" s="94" t="str">
        <x:f>IF(COUNT(F61:F63)=0,"",SUM(F61:F63))</x:f>
      </x:c>
      <x:c r="H63" s="97"/>
      <x:c r="I63" s="98"/>
      <x:c r="J63" s="93"/>
      <x:c r="K63" s="94"/>
      <x:c r="L63" s="94" t="n">
        <x:f>IF(OR(E63="미산정",K63="미산정"),"미산정",IF(ISNUMBER(L62),L62+SUM(E63)-SUM(K63),"미산정"))</x:f>
        <x:v>3740</x:v>
      </x:c>
      <x:c r="M63" s="98"/>
      <x:c r="N63" s="98"/>
      <x:c r="O63" s="96" t="str">
        <x:f>"105동 / 벽체·기둥 철근배근"&amp;CHAR(10)&amp;IF(D63&lt;='원자료·매핑'!$B$15,"반입 완료(가상)","반입 예정")</x:f>
        <x:v>105동 / 벽체·기둥 철근배근
반입 완료(가상)</x:v>
      </x:c>
    </x:row>
    <x:row r="64" ht="40" customHeight="1">
      <x:c r="A64" s="52"/>
      <x:c r="B64" s="45"/>
      <x:c r="C64" s="45"/>
      <x:c r="D64" s="99"/>
      <x:c r="E64" s="100"/>
      <x:c r="F64" s="97"/>
      <x:c r="G64" s="100" t="str">
        <x:f>IF(COUNT(F61:F64)=0,"",SUM(F61:F64))</x:f>
      </x:c>
      <x:c r="H64" s="97"/>
      <x:c r="I64" s="98"/>
      <x:c r="J64" s="99" t="n">
        <x:f>'원자료·매핑'!I115</x:f>
        <x:v>8</x:v>
      </x:c>
      <x:c r="K64" s="100" t="n">
        <x:f>'원자료·매핑'!O115</x:f>
        <x:v>3740</x:v>
      </x:c>
      <x:c r="L64" s="100" t="n">
        <x:f>IF(OR(E64="미산정",K64="미산정"),"미산정",IF(ISNUMBER(L63),L63+SUM(E64)-SUM(K64),"미산정"))</x:f>
        <x:v>0</x:v>
      </x:c>
      <x:c r="M64" s="98"/>
      <x:c r="N64" s="98"/>
      <x:c r="O64" s="102" t="str">
        <x:f>"105동 / 벽체·기둥 철근배근"&amp;CHAR(10)&amp;IF('원자료·매핑'!U115=0,"미불출",IF('원자료·매핑'!U115=K64,"전량 불출(가상)","부분 불출 "&amp;TEXT('원자료·매핑'!U115,"#,##0")&amp;" / "&amp;TEXT(K64,"#,##0")&amp;" (가상)"))</x:f>
        <x:v>105동 / 벽체·기둥 철근배근
부분 불출 2,244 / 3,740 (가상)</x:v>
      </x:c>
    </x:row>
    <x:row r="65" ht="40" customHeight="1">
      <x:c r="A65" s="52"/>
      <x:c r="B65" s="45"/>
      <x:c r="C65" s="45"/>
      <x:c r="D65" s="93" t="n">
        <x:f>'원자료·매핑'!R109</x:f>
        <x:v>10</x:v>
      </x:c>
      <x:c r="E65" s="94" t="n">
        <x:f>'원자료·매핑'!O109</x:f>
        <x:v>5530</x:v>
      </x:c>
      <x:c r="F65" s="97"/>
      <x:c r="G65" s="94" t="str">
        <x:f>IF(COUNT(F61:F65)=0,"",SUM(F61:F65))</x:f>
      </x:c>
      <x:c r="H65" s="97"/>
      <x:c r="I65" s="98"/>
      <x:c r="J65" s="93"/>
      <x:c r="K65" s="94"/>
      <x:c r="L65" s="94" t="n">
        <x:f>IF(OR(E65="미산정",K65="미산정"),"미산정",IF(ISNUMBER(L64),L64+SUM(E65)-SUM(K65),"미산정"))</x:f>
        <x:v>5530</x:v>
      </x:c>
      <x:c r="M65" s="98"/>
      <x:c r="N65" s="98"/>
      <x:c r="O65" s="96" t="str">
        <x:f>"104동 / 보·슬래브 철근배근"&amp;CHAR(10)&amp;IF(D65&lt;='원자료·매핑'!$B$15,"반입 완료(가상)","반입 예정")</x:f>
        <x:v>104동 / 보·슬래브 철근배근
반입 완료(가상)</x:v>
      </x:c>
    </x:row>
    <x:row r="66" ht="40" customHeight="1">
      <x:c r="A66" s="52"/>
      <x:c r="B66" s="45"/>
      <x:c r="C66" s="45"/>
      <x:c r="D66" s="93" t="n">
        <x:f>'원자료·매핑'!R51</x:f>
        <x:v>17</x:v>
      </x:c>
      <x:c r="E66" s="94" t="n">
        <x:f>'원자료·매핑'!O51</x:f>
        <x:v>3390</x:v>
      </x:c>
      <x:c r="F66" s="97"/>
      <x:c r="G66" s="94" t="str">
        <x:f>IF(COUNT(F61:F66)=0,"",SUM(F61:F66))</x:f>
      </x:c>
      <x:c r="H66" s="97"/>
      <x:c r="I66" s="98"/>
      <x:c r="J66" s="93"/>
      <x:c r="K66" s="94"/>
      <x:c r="L66" s="94" t="n">
        <x:f>IF(OR(E66="미산정",K66="미산정"),"미산정",IF(ISNUMBER(L65),L65+SUM(E66)-SUM(K66),"미산정"))</x:f>
        <x:v>8920</x:v>
      </x:c>
      <x:c r="M66" s="98"/>
      <x:c r="N66" s="98"/>
      <x:c r="O66" s="96" t="str">
        <x:f>"112동 / 벽체·기둥 철근배근"&amp;CHAR(10)&amp;IF(D66&lt;='원자료·매핑'!$B$15,"반입 완료(가상)","반입 예정")</x:f>
        <x:v>112동 / 벽체·기둥 철근배근
반입 예정</x:v>
      </x:c>
    </x:row>
    <x:row r="67" ht="40" customHeight="1">
      <x:c r="A67" s="52"/>
      <x:c r="B67" s="45"/>
      <x:c r="C67" s="45"/>
      <x:c r="D67" s="99"/>
      <x:c r="E67" s="100"/>
      <x:c r="F67" s="97"/>
      <x:c r="G67" s="100" t="str">
        <x:f>IF(COUNT(F61:F67)=0,"",SUM(F61:F67))</x:f>
      </x:c>
      <x:c r="H67" s="97"/>
      <x:c r="I67" s="98"/>
      <x:c r="J67" s="99" t="n">
        <x:f>'원자료·매핑'!I51</x:f>
        <x:v>18</x:v>
      </x:c>
      <x:c r="K67" s="100" t="n">
        <x:f>'원자료·매핑'!O51</x:f>
        <x:v>3390</x:v>
      </x:c>
      <x:c r="L67" s="100" t="n">
        <x:f>IF(OR(E67="미산정",K67="미산정"),"미산정",IF(ISNUMBER(L66),L66+SUM(E67)-SUM(K67),"미산정"))</x:f>
        <x:v>5530</x:v>
      </x:c>
      <x:c r="M67" s="98"/>
      <x:c r="N67" s="98"/>
      <x:c r="O67" s="102" t="str">
        <x:f>"112동 / 벽체·기둥 철근배근"&amp;CHAR(10)&amp;IF('원자료·매핑'!U51=0,"미불출",IF('원자료·매핑'!U51=K67,"전량 불출(가상)","부분 불출 "&amp;TEXT('원자료·매핑'!U51,"#,##0")&amp;" / "&amp;TEXT(K67,"#,##0")&amp;" (가상)"))</x:f>
        <x:v>112동 / 벽체·기둥 철근배근
미불출</x:v>
      </x:c>
    </x:row>
    <x:row r="68" ht="40" customHeight="1">
      <x:c r="A68" s="52"/>
      <x:c r="B68" s="45"/>
      <x:c r="C68" s="45"/>
      <x:c r="D68" s="99"/>
      <x:c r="E68" s="100"/>
      <x:c r="F68" s="97"/>
      <x:c r="G68" s="100" t="str">
        <x:f>IF(COUNT(F61:F68)=0,"",SUM(F61:F68))</x:f>
      </x:c>
      <x:c r="H68" s="97"/>
      <x:c r="I68" s="98"/>
      <x:c r="J68" s="99" t="n">
        <x:f>'원자료·매핑'!I109</x:f>
        <x:v>22</x:v>
      </x:c>
      <x:c r="K68" s="100" t="n">
        <x:f>'원자료·매핑'!O109</x:f>
        <x:v>5530</x:v>
      </x:c>
      <x:c r="L68" s="100" t="n">
        <x:f>IF(OR(E68="미산정",K68="미산정"),"미산정",IF(ISNUMBER(L67),L67+SUM(E68)-SUM(K68),"미산정"))</x:f>
        <x:v>0</x:v>
      </x:c>
      <x:c r="M68" s="98"/>
      <x:c r="N68" s="98"/>
      <x:c r="O68" s="102" t="str">
        <x:f>"104동 / 보·슬래브 철근배근"&amp;CHAR(10)&amp;IF('원자료·매핑'!U109=0,"미불출",IF('원자료·매핑'!U109=K68,"전량 불출(가상)","부분 불출 "&amp;TEXT('원자료·매핑'!U109,"#,##0")&amp;" / "&amp;TEXT(K68,"#,##0")&amp;" (가상)"))</x:f>
        <x:v>104동 / 보·슬래브 철근배근
미불출</x:v>
      </x:c>
    </x:row>
    <x:row r="69" ht="40" customHeight="1">
      <x:c r="A69" s="52"/>
      <x:c r="B69" s="45"/>
      <x:c r="C69" s="45"/>
      <x:c r="D69" s="93" t="n">
        <x:f>'원자료·매핑'!R141</x:f>
        <x:v>26</x:v>
      </x:c>
      <x:c r="E69" s="94" t="n">
        <x:f>'원자료·매핑'!O141</x:f>
        <x:v>6490</x:v>
      </x:c>
      <x:c r="F69" s="97"/>
      <x:c r="G69" s="94" t="str">
        <x:f>IF(COUNT(F61:F69)=0,"",SUM(F61:F69))</x:f>
      </x:c>
      <x:c r="H69" s="97"/>
      <x:c r="I69" s="98"/>
      <x:c r="J69" s="93"/>
      <x:c r="K69" s="94"/>
      <x:c r="L69" s="94" t="n">
        <x:f>IF(OR(E69="미산정",K69="미산정"),"미산정",IF(ISNUMBER(L68),L68+SUM(E69)-SUM(K69),"미산정"))</x:f>
        <x:v>6490</x:v>
      </x:c>
      <x:c r="M69" s="98"/>
      <x:c r="N69" s="98"/>
      <x:c r="O69" s="96" t="str">
        <x:f>"105동 / 보·슬래브 철근배근"&amp;CHAR(10)&amp;IF(D69&lt;='원자료·매핑'!$B$15,"반입 완료(가상)","반입 예정")</x:f>
        <x:v>105동 / 보·슬래브 철근배근
반입 예정</x:v>
      </x:c>
    </x:row>
    <x:row r="70" ht="40" customHeight="1">
      <x:c r="A70" s="52"/>
      <x:c r="B70" s="45"/>
      <x:c r="C70" s="45"/>
      <x:c r="D70" s="99"/>
      <x:c r="E70" s="100"/>
      <x:c r="F70" s="97"/>
      <x:c r="G70" s="100" t="str">
        <x:f>IF(COUNT(F61:F70)=0,"",SUM(F61:F70))</x:f>
      </x:c>
      <x:c r="H70" s="97"/>
      <x:c r="I70" s="98"/>
      <x:c r="J70" s="99" t="n">
        <x:f>'원자료·매핑'!I141</x:f>
        <x:v>27</x:v>
      </x:c>
      <x:c r="K70" s="100" t="n">
        <x:f>'원자료·매핑'!O141</x:f>
        <x:v>6490</x:v>
      </x:c>
      <x:c r="L70" s="100" t="n">
        <x:f>IF(OR(E70="미산정",K70="미산정"),"미산정",IF(ISNUMBER(L69),L69+SUM(E70)-SUM(K70),"미산정"))</x:f>
        <x:v>0</x:v>
      </x:c>
      <x:c r="M70" s="98"/>
      <x:c r="N70" s="98"/>
      <x:c r="O70" s="102" t="str">
        <x:f>"105동 / 보·슬래브 철근배근"&amp;CHAR(10)&amp;IF('원자료·매핑'!U141=0,"미불출",IF('원자료·매핑'!U141=K70,"전량 불출(가상)","부분 불출 "&amp;TEXT('원자료·매핑'!U141,"#,##0")&amp;" / "&amp;TEXT(K70,"#,##0")&amp;" (가상)"))</x:f>
        <x:v>105동 / 보·슬래브 철근배근
미불출</x:v>
      </x:c>
    </x:row>
    <x:row r="71" ht="40" customHeight="1">
      <x:c r="A71" s="52"/>
      <x:c r="B71" s="45"/>
      <x:c r="C71" s="45"/>
      <x:c r="D71" s="93" t="n">
        <x:f>'원자료·매핑'!R77</x:f>
        <x:v>36</x:v>
      </x:c>
      <x:c r="E71" s="94" t="n">
        <x:f>'원자료·매핑'!O77</x:f>
        <x:v>6010</x:v>
      </x:c>
      <x:c r="F71" s="97"/>
      <x:c r="G71" s="94" t="str">
        <x:f>IF(COUNT(F61:F71)=0,"",SUM(F61:F71))</x:f>
      </x:c>
      <x:c r="H71" s="97"/>
      <x:c r="I71" s="98"/>
      <x:c r="J71" s="93"/>
      <x:c r="K71" s="94"/>
      <x:c r="L71" s="94" t="n">
        <x:f>IF(OR(E71="미산정",K71="미산정"),"미산정",IF(ISNUMBER(L70),L70+SUM(E71)-SUM(K71),"미산정"))</x:f>
        <x:v>6010</x:v>
      </x:c>
      <x:c r="M71" s="98"/>
      <x:c r="N71" s="98"/>
      <x:c r="O71" s="96" t="str">
        <x:f>"112동 / 보·슬래브 철근배근"&amp;CHAR(10)&amp;IF(D71&lt;='원자료·매핑'!$B$15,"반입 완료(가상)","반입 예정")</x:f>
        <x:v>112동 / 보·슬래브 철근배근
반입 예정</x:v>
      </x:c>
    </x:row>
    <x:row r="72" ht="40" customHeight="1">
      <x:c r="A72" s="52"/>
      <x:c r="B72" s="45"/>
      <x:c r="C72" s="45"/>
      <x:c r="D72" s="99"/>
      <x:c r="E72" s="100"/>
      <x:c r="F72" s="97"/>
      <x:c r="G72" s="100" t="str">
        <x:f>IF(COUNT(F61:F72)=0,"",SUM(F61:F72))</x:f>
      </x:c>
      <x:c r="H72" s="97"/>
      <x:c r="I72" s="98"/>
      <x:c r="J72" s="99" t="n">
        <x:f>'원자료·매핑'!I77</x:f>
        <x:v>37</x:v>
      </x:c>
      <x:c r="K72" s="100" t="n">
        <x:f>'원자료·매핑'!O77</x:f>
        <x:v>6010</x:v>
      </x:c>
      <x:c r="L72" s="100" t="n">
        <x:f>IF(OR(E72="미산정",K72="미산정"),"미산정",IF(ISNUMBER(L71),L71+SUM(E72)-SUM(K72),"미산정"))</x:f>
        <x:v>0</x:v>
      </x:c>
      <x:c r="M72" s="98"/>
      <x:c r="N72" s="98"/>
      <x:c r="O72" s="102" t="str">
        <x:f>"112동 / 보·슬래브 철근배근"&amp;CHAR(10)&amp;IF('원자료·매핑'!U77=0,"미불출",IF('원자료·매핑'!U77=K72,"전량 불출(가상)","부분 불출 "&amp;TEXT('원자료·매핑'!U77,"#,##0")&amp;" / "&amp;TEXT(K72,"#,##0")&amp;" (가상)"))</x:f>
        <x:v>112동 / 보·슬래브 철근배근
미불출</x:v>
      </x:c>
    </x:row>
    <x:row r="73" ht="40" customHeight="1">
      <x:c r="A73" s="52"/>
      <x:c r="B73" s="45"/>
      <x:c r="C73" s="45"/>
      <x:c r="D73" s="93" t="n">
        <x:f>'원자료·매핑'!R19</x:f>
        <x:v>42</x:v>
      </x:c>
      <x:c r="E73" s="94" t="n">
        <x:f>'원자료·매핑'!O19</x:f>
        <x:v>2910</x:v>
      </x:c>
      <x:c r="F73" s="97"/>
      <x:c r="G73" s="94" t="str">
        <x:f>IF(COUNT(F61:F73)=0,"",SUM(F61:F73))</x:f>
      </x:c>
      <x:c r="H73" s="97"/>
      <x:c r="I73" s="98"/>
      <x:c r="J73" s="93"/>
      <x:c r="K73" s="94"/>
      <x:c r="L73" s="94" t="n">
        <x:f>IF(OR(E73="미산정",K73="미산정"),"미산정",IF(ISNUMBER(L72),L72+SUM(E73)-SUM(K73),"미산정"))</x:f>
        <x:v>2910</x:v>
      </x:c>
      <x:c r="M73" s="98"/>
      <x:c r="N73" s="98"/>
      <x:c r="O73" s="96" t="str">
        <x:f>"113동 / 벽체·기둥 철근배근"&amp;CHAR(10)&amp;IF(D73&lt;='원자료·매핑'!$B$15,"반입 완료(가상)","반입 예정")</x:f>
        <x:v>113동 / 벽체·기둥 철근배근
반입 예정</x:v>
      </x:c>
    </x:row>
    <x:row r="74" ht="40" customHeight="1">
      <x:c r="A74" s="52"/>
      <x:c r="B74" s="45"/>
      <x:c r="C74" s="45"/>
      <x:c r="D74" s="99"/>
      <x:c r="E74" s="100"/>
      <x:c r="F74" s="97"/>
      <x:c r="G74" s="100" t="str">
        <x:f>IF(COUNT(F61:F74)=0,"",SUM(F61:F74))</x:f>
      </x:c>
      <x:c r="H74" s="97"/>
      <x:c r="I74" s="98"/>
      <x:c r="J74" s="99" t="n">
        <x:f>'원자료·매핑'!I19</x:f>
        <x:v>43</x:v>
      </x:c>
      <x:c r="K74" s="100" t="n">
        <x:f>'원자료·매핑'!O19</x:f>
        <x:v>2910</x:v>
      </x:c>
      <x:c r="L74" s="100" t="n">
        <x:f>IF(OR(E74="미산정",K74="미산정"),"미산정",IF(ISNUMBER(L73),L73+SUM(E74)-SUM(K74),"미산정"))</x:f>
        <x:v>0</x:v>
      </x:c>
      <x:c r="M74" s="98"/>
      <x:c r="N74" s="98"/>
      <x:c r="O74" s="102" t="str">
        <x:f>"113동 / 벽체·기둥 철근배근"&amp;CHAR(10)&amp;IF('원자료·매핑'!U19=0,"미불출",IF('원자료·매핑'!U19=K74,"전량 불출(가상)","부분 불출 "&amp;TEXT('원자료·매핑'!U19,"#,##0")&amp;" / "&amp;TEXT(K74,"#,##0")&amp;" (가상)"))</x:f>
        <x:v>113동 / 벽체·기둥 철근배근
미불출</x:v>
      </x:c>
    </x:row>
    <x:row r="75" ht="40" customHeight="1">
      <x:c r="A75" s="52"/>
      <x:c r="B75" s="45"/>
      <x:c r="C75" s="45"/>
      <x:c r="D75" s="93" t="n">
        <x:f>'원자료·매핑'!R45</x:f>
        <x:v>61</x:v>
      </x:c>
      <x:c r="E75" s="94" t="n">
        <x:f>'원자료·매핑'!O45</x:f>
        <x:v>5040</x:v>
      </x:c>
      <x:c r="F75" s="97"/>
      <x:c r="G75" s="94" t="str">
        <x:f>IF(COUNT(F61:F75)=0,"",SUM(F61:F75))</x:f>
      </x:c>
      <x:c r="H75" s="97"/>
      <x:c r="I75" s="98"/>
      <x:c r="J75" s="93"/>
      <x:c r="K75" s="94"/>
      <x:c r="L75" s="94" t="n">
        <x:f>IF(OR(E75="미산정",K75="미산정"),"미산정",IF(ISNUMBER(L74),L74+SUM(E75)-SUM(K75),"미산정"))</x:f>
        <x:v>5040</x:v>
      </x:c>
      <x:c r="M75" s="98"/>
      <x:c r="N75" s="98"/>
      <x:c r="O75" s="96" t="str">
        <x:f>"113동 / 보·슬래브 철근배근"&amp;CHAR(10)&amp;IF(D75&lt;='원자료·매핑'!$B$15,"반입 완료(가상)","반입 예정")</x:f>
        <x:v>113동 / 보·슬래브 철근배근
반입 예정</x:v>
      </x:c>
    </x:row>
    <x:row r="76" ht="40" customHeight="1">
      <x:c r="A76" s="52"/>
      <x:c r="B76" s="45"/>
      <x:c r="C76" s="45"/>
      <x:c r="D76" s="99"/>
      <x:c r="E76" s="100"/>
      <x:c r="F76" s="97"/>
      <x:c r="G76" s="100" t="str">
        <x:f>IF(COUNT(F61:F76)=0,"",SUM(F61:F76))</x:f>
      </x:c>
      <x:c r="H76" s="97"/>
      <x:c r="I76" s="98"/>
      <x:c r="J76" s="99" t="n">
        <x:f>'원자료·매핑'!I45</x:f>
        <x:v>62</x:v>
      </x:c>
      <x:c r="K76" s="100" t="n">
        <x:f>'원자료·매핑'!O45</x:f>
        <x:v>5040</x:v>
      </x:c>
      <x:c r="L76" s="100" t="n">
        <x:f>IF(OR(E76="미산정",K76="미산정"),"미산정",IF(ISNUMBER(L75),L75+SUM(E76)-SUM(K76),"미산정"))</x:f>
        <x:v>0</x:v>
      </x:c>
      <x:c r="M76" s="98"/>
      <x:c r="N76" s="98"/>
      <x:c r="O76" s="102" t="str">
        <x:f>"113동 / 보·슬래브 철근배근"&amp;CHAR(10)&amp;IF('원자료·매핑'!U45=0,"미불출",IF('원자료·매핑'!U45=K76,"전량 불출(가상)","부분 불출 "&amp;TEXT('원자료·매핑'!U45,"#,##0")&amp;" / "&amp;TEXT(K76,"#,##0")&amp;" (가상)"))</x:f>
        <x:v>113동 / 보·슬래브 철근배근
미불출</x:v>
      </x:c>
    </x:row>
    <x:row r="77" ht="32" customHeight="1">
      <x:c r="A77" s="53" t="str">
        <x:v>합계 / 최종 계획잔량</x:v>
      </x:c>
      <x:c r="B77" s="49"/>
      <x:c r="C77" s="49"/>
      <x:c r="D77" s="63"/>
      <x:c r="E77" s="64" t="n">
        <x:f>IF(COUNTIFS(E61:E76,"미산정")&gt;0,"미산정",SUM(E61:E76))</x:f>
        <x:v>36150</x:v>
      </x:c>
      <x:c r="F77" s="64" t="str">
        <x:f>IF(COUNT(F61:F76)=0,"",SUM(F61:F76))</x:f>
      </x:c>
      <x:c r="G77" s="64" t="str">
        <x:f>G76</x:f>
      </x:c>
      <x:c r="H77" s="64" t="str">
        <x:f>IF(COUNT(H61:H76)=0,"",SUM(H61:H76))</x:f>
      </x:c>
      <x:c r="I77" s="63"/>
      <x:c r="J77" s="63"/>
      <x:c r="K77" s="64" t="n">
        <x:f>IF(COUNTIFS(K61:K76,"미산정")&gt;0,"미산정",SUM(K61:K76))</x:f>
        <x:v>36150</x:v>
      </x:c>
      <x:c r="L77" s="64" t="n">
        <x:f>L76</x:f>
        <x:v>0</x:v>
      </x:c>
      <x:c r="M77" s="63"/>
      <x:c r="N77" s="63"/>
      <x:c r="O77" s="49"/>
    </x:row>
    <x:row r="78" ht="26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 ht="26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 ht="34" customHeight="1">
      <x:c r="A80" s="38" t="str">
        <x:v>04. 주요자재 검사 및 수불부</x:v>
      </x:c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</x:row>
    <x:row r="81" ht="28" customHeight="1">
      <x:c r="A81" s="39" t="str">
        <x:v>품명: 철근 / D19</x:v>
      </x:c>
      <x:c r="B81" s="39"/>
      <x:c r="C81" s="39"/>
      <x:c r="D81" s="39"/>
      <x:c r="E81" s="39"/>
      <x:c r="F81" s="39"/>
      <x:c r="G81" s="39"/>
      <x:c r="H81" s="39"/>
      <x:c r="I81" s="39"/>
      <x:c r="J81" s="39" t="str">
        <x:v>단위: kg / SD500 / 길이 미제공</x:v>
      </x:c>
      <x:c r="K81" s="39"/>
      <x:c r="L81" s="39"/>
      <x:c r="M81" s="39"/>
      <x:c r="N81" s="39"/>
      <x:c r="O81" s="39"/>
    </x:row>
    <x:row r="82" ht="32" customHeight="1">
      <x:c r="A82" s="4" t="str">
        <x:v>반입·불출 수량은 전체 계획. O열에는 기준일 진행 상태를 구분. 사진에서 검사 합격·규격·수량을 확정하지 않음.</x:v>
      </x:c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 ht="30" customHeight="1">
      <x:c r="A83" s="92" t="str">
        <x:f>"기준 WD "&amp;'원자료·매핑'!$B$15&amp;"  기반입 "&amp;TEXT(SUMIFS('원자료·매핑'!$T$17:$T$144,'원자료·매핑'!$D$17:$D$144,"RB-D19"),"#,##0")&amp;" / 기불출 "&amp;TEXT(SUMIFS('원자료·매핑'!$U$17:$U$144,'원자료·매핑'!$D$17:$D$144,"RB-D19"),"#,##0")&amp;" / 현재 야적 "&amp;TEXT(SUMIFS('원자료·매핑'!$V$17:$V$144,'원자료·매핑'!$D$17:$D$144,"RB-D19"),"#,##0")&amp;" (가상)"</x:f>
        <x:v>기준 WD 10  기반입 12,310 / 기불출 5,284 / 현재 야적 7,026 (가상)</x:v>
      </x:c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</x:row>
    <x:row r="84" ht="27" customHeight="1">
      <x:c r="A84" s="44" t="str">
        <x:v>계획량
(가상)</x:v>
      </x:c>
      <x:c r="B84" s="44" t="str">
        <x:v>단위</x:v>
      </x:c>
      <x:c r="C84" s="44" t="str">
        <x:v>규격</x:v>
      </x:c>
      <x:c r="D84" s="44" t="str">
        <x:v>반입일
(적용 WD)</x:v>
      </x:c>
      <x:c r="E84" s="44" t="str">
        <x:v>반입량
(계획)</x:v>
      </x:c>
      <x:c r="F84" s="44" t="str">
        <x:v>합격량</x:v>
      </x:c>
      <x:c r="G84" s="44"/>
      <x:c r="H84" s="44" t="str">
        <x:v>불합격</x:v>
      </x:c>
      <x:c r="I84" s="44"/>
      <x:c r="J84" s="44" t="str">
        <x:v>출고일
(예정 WD)</x:v>
      </x:c>
      <x:c r="K84" s="44" t="str">
        <x:v>출고량
(계획)</x:v>
      </x:c>
      <x:c r="L84" s="44" t="str">
        <x:v>계획잔량</x:v>
      </x:c>
      <x:c r="M84" s="44" t="str">
        <x:v>검사자</x:v>
      </x:c>
      <x:c r="N84" s="44" t="str">
        <x:v>서명</x:v>
      </x:c>
      <x:c r="O84" s="44" t="str">
        <x:v>사용동 · 공정</x:v>
      </x:c>
    </x:row>
    <x:row r="85" ht="27" customHeight="1">
      <x:c r="A85" s="44"/>
      <x:c r="B85" s="44"/>
      <x:c r="C85" s="44"/>
      <x:c r="D85" s="44"/>
      <x:c r="E85" s="44"/>
      <x:c r="F85" s="44" t="str">
        <x:v>금회</x:v>
      </x:c>
      <x:c r="G85" s="44" t="str">
        <x:v>누계</x:v>
      </x:c>
      <x:c r="H85" s="44" t="str">
        <x:v>수량</x:v>
      </x:c>
      <x:c r="I85" s="44" t="str">
        <x:v>사유</x:v>
      </x:c>
      <x:c r="J85" s="44"/>
      <x:c r="K85" s="44"/>
      <x:c r="L85" s="44"/>
      <x:c r="M85" s="44"/>
      <x:c r="N85" s="44"/>
      <x:c r="O85" s="44"/>
    </x:row>
    <x:row r="86" ht="40" customHeight="1">
      <x:c r="A86" s="52" t="n">
        <x:f>IF(COUNTIFS('원자료·매핑'!$D$17:$D$144,"RB-D19",'원자료·매핑'!$O$17:$O$144,"미산정")&gt;0,"미산정",SUMIFS('원자료·매핑'!$O$17:$O$144,'원자료·매핑'!$D$17:$D$144,"RB-D19"))</x:f>
        <x:v>36150</x:v>
      </x:c>
      <x:c r="B86" s="45" t="str">
        <x:v>kg</x:v>
      </x:c>
      <x:c r="C86" s="45" t="str">
        <x:v>D19
SD500 D19 / 부위별 공장 가공
길이 미제공</x:v>
      </x:c>
      <x:c r="D86" s="93" t="n">
        <x:f>'원자료·매핑'!R84</x:f>
        <x:v>2</x:v>
      </x:c>
      <x:c r="E86" s="94" t="n">
        <x:f>'원자료·매핑'!O84</x:f>
        <x:v>3040</x:v>
      </x:c>
      <x:c r="F86" s="97"/>
      <x:c r="G86" s="94" t="str">
        <x:f>IF(COUNT(F86:F86)=0,"",SUM(F86:F86))</x:f>
      </x:c>
      <x:c r="H86" s="97"/>
      <x:c r="I86" s="98"/>
      <x:c r="J86" s="93"/>
      <x:c r="K86" s="94"/>
      <x:c r="L86" s="94" t="n">
        <x:f>IF(OR(E86="미산정",K86="미산정"),"미산정",IF(ISNUMBER('원자료·매핑'!$B$9),'원자료·매핑'!$B$9+SUM(E86)-SUM(K86),"미산정"))</x:f>
        <x:v>3040</x:v>
      </x:c>
      <x:c r="M86" s="98"/>
      <x:c r="N86" s="98"/>
      <x:c r="O86" s="96" t="str">
        <x:f>"104동 / 벽체·기둥 철근배근"&amp;CHAR(10)&amp;IF(D86&lt;='원자료·매핑'!$B$15,"반입 완료(가상)","반입 예정")</x:f>
        <x:v>104동 / 벽체·기둥 철근배근
반입 완료(가상)</x:v>
      </x:c>
    </x:row>
    <x:row r="87" ht="40" customHeight="1">
      <x:c r="A87" s="52"/>
      <x:c r="B87" s="45"/>
      <x:c r="C87" s="45"/>
      <x:c r="D87" s="99"/>
      <x:c r="E87" s="100"/>
      <x:c r="F87" s="97"/>
      <x:c r="G87" s="100" t="str">
        <x:f>IF(COUNT(F86:F87)=0,"",SUM(F86:F87))</x:f>
      </x:c>
      <x:c r="H87" s="97"/>
      <x:c r="I87" s="98"/>
      <x:c r="J87" s="99" t="n">
        <x:f>'원자료·매핑'!I84</x:f>
        <x:v>3</x:v>
      </x:c>
      <x:c r="K87" s="100" t="n">
        <x:f>'원자료·매핑'!O84</x:f>
        <x:v>3040</x:v>
      </x:c>
      <x:c r="L87" s="100" t="n">
        <x:f>IF(OR(E87="미산정",K87="미산정"),"미산정",IF(ISNUMBER(L86),L86+SUM(E87)-SUM(K87),"미산정"))</x:f>
        <x:v>0</x:v>
      </x:c>
      <x:c r="M87" s="98"/>
      <x:c r="N87" s="98"/>
      <x:c r="O87" s="102" t="str">
        <x:f>"104동 / 벽체·기둥 철근배근"&amp;CHAR(10)&amp;IF('원자료·매핑'!U84=0,"미불출",IF('원자료·매핑'!U84=K87,"전량 불출(가상)","부분 불출 "&amp;TEXT('원자료·매핑'!U84,"#,##0")&amp;" / "&amp;TEXT(K87,"#,##0")&amp;" (가상)"))</x:f>
        <x:v>104동 / 벽체·기둥 철근배근
전량 불출(가상)</x:v>
      </x:c>
    </x:row>
    <x:row r="88" ht="40" customHeight="1">
      <x:c r="A88" s="52"/>
      <x:c r="B88" s="45"/>
      <x:c r="C88" s="45"/>
      <x:c r="D88" s="93" t="n">
        <x:f>'원자료·매핑'!R116</x:f>
        <x:v>7</x:v>
      </x:c>
      <x:c r="E88" s="94" t="n">
        <x:f>'원자료·매핑'!O116</x:f>
        <x:v>3740</x:v>
      </x:c>
      <x:c r="F88" s="97"/>
      <x:c r="G88" s="94" t="str">
        <x:f>IF(COUNT(F86:F88)=0,"",SUM(F86:F88))</x:f>
      </x:c>
      <x:c r="H88" s="97"/>
      <x:c r="I88" s="98"/>
      <x:c r="J88" s="93"/>
      <x:c r="K88" s="94"/>
      <x:c r="L88" s="94" t="n">
        <x:f>IF(OR(E88="미산정",K88="미산정"),"미산정",IF(ISNUMBER(L87),L87+SUM(E88)-SUM(K88),"미산정"))</x:f>
        <x:v>3740</x:v>
      </x:c>
      <x:c r="M88" s="98"/>
      <x:c r="N88" s="98"/>
      <x:c r="O88" s="96" t="str">
        <x:f>"105동 / 벽체·기둥 철근배근"&amp;CHAR(10)&amp;IF(D88&lt;='원자료·매핑'!$B$15,"반입 완료(가상)","반입 예정")</x:f>
        <x:v>105동 / 벽체·기둥 철근배근
반입 완료(가상)</x:v>
      </x:c>
    </x:row>
    <x:row r="89" ht="40" customHeight="1">
      <x:c r="A89" s="52"/>
      <x:c r="B89" s="45"/>
      <x:c r="C89" s="45"/>
      <x:c r="D89" s="99"/>
      <x:c r="E89" s="100"/>
      <x:c r="F89" s="97"/>
      <x:c r="G89" s="100" t="str">
        <x:f>IF(COUNT(F86:F89)=0,"",SUM(F86:F89))</x:f>
      </x:c>
      <x:c r="H89" s="97"/>
      <x:c r="I89" s="98"/>
      <x:c r="J89" s="99" t="n">
        <x:f>'원자료·매핑'!I116</x:f>
        <x:v>8</x:v>
      </x:c>
      <x:c r="K89" s="100" t="n">
        <x:f>'원자료·매핑'!O116</x:f>
        <x:v>3740</x:v>
      </x:c>
      <x:c r="L89" s="100" t="n">
        <x:f>IF(OR(E89="미산정",K89="미산정"),"미산정",IF(ISNUMBER(L88),L88+SUM(E89)-SUM(K89),"미산정"))</x:f>
        <x:v>0</x:v>
      </x:c>
      <x:c r="M89" s="98"/>
      <x:c r="N89" s="98"/>
      <x:c r="O89" s="102" t="str">
        <x:f>"105동 / 벽체·기둥 철근배근"&amp;CHAR(10)&amp;IF('원자료·매핑'!U116=0,"미불출",IF('원자료·매핑'!U116=K89,"전량 불출(가상)","부분 불출 "&amp;TEXT('원자료·매핑'!U116,"#,##0")&amp;" / "&amp;TEXT(K89,"#,##0")&amp;" (가상)"))</x:f>
        <x:v>105동 / 벽체·기둥 철근배근
부분 불출 2,244 / 3,740 (가상)</x:v>
      </x:c>
    </x:row>
    <x:row r="90" ht="40" customHeight="1">
      <x:c r="A90" s="52"/>
      <x:c r="B90" s="45"/>
      <x:c r="C90" s="45"/>
      <x:c r="D90" s="93" t="n">
        <x:f>'원자료·매핑'!R110</x:f>
        <x:v>10</x:v>
      </x:c>
      <x:c r="E90" s="94" t="n">
        <x:f>'원자료·매핑'!O110</x:f>
        <x:v>5530</x:v>
      </x:c>
      <x:c r="F90" s="97"/>
      <x:c r="G90" s="94" t="str">
        <x:f>IF(COUNT(F86:F90)=0,"",SUM(F86:F90))</x:f>
      </x:c>
      <x:c r="H90" s="97"/>
      <x:c r="I90" s="98"/>
      <x:c r="J90" s="93"/>
      <x:c r="K90" s="94"/>
      <x:c r="L90" s="94" t="n">
        <x:f>IF(OR(E90="미산정",K90="미산정"),"미산정",IF(ISNUMBER(L89),L89+SUM(E90)-SUM(K90),"미산정"))</x:f>
        <x:v>5530</x:v>
      </x:c>
      <x:c r="M90" s="98"/>
      <x:c r="N90" s="98"/>
      <x:c r="O90" s="96" t="str">
        <x:f>"104동 / 보·슬래브 철근배근"&amp;CHAR(10)&amp;IF(D90&lt;='원자료·매핑'!$B$15,"반입 완료(가상)","반입 예정")</x:f>
        <x:v>104동 / 보·슬래브 철근배근
반입 완료(가상)</x:v>
      </x:c>
    </x:row>
    <x:row r="91" ht="40" customHeight="1">
      <x:c r="A91" s="52"/>
      <x:c r="B91" s="45"/>
      <x:c r="C91" s="45"/>
      <x:c r="D91" s="93" t="n">
        <x:f>'원자료·매핑'!R52</x:f>
        <x:v>17</x:v>
      </x:c>
      <x:c r="E91" s="94" t="n">
        <x:f>'원자료·매핑'!O52</x:f>
        <x:v>3390</x:v>
      </x:c>
      <x:c r="F91" s="97"/>
      <x:c r="G91" s="94" t="str">
        <x:f>IF(COUNT(F86:F91)=0,"",SUM(F86:F91))</x:f>
      </x:c>
      <x:c r="H91" s="97"/>
      <x:c r="I91" s="98"/>
      <x:c r="J91" s="93"/>
      <x:c r="K91" s="94"/>
      <x:c r="L91" s="94" t="n">
        <x:f>IF(OR(E91="미산정",K91="미산정"),"미산정",IF(ISNUMBER(L90),L90+SUM(E91)-SUM(K91),"미산정"))</x:f>
        <x:v>8920</x:v>
      </x:c>
      <x:c r="M91" s="98"/>
      <x:c r="N91" s="98"/>
      <x:c r="O91" s="96" t="str">
        <x:f>"112동 / 벽체·기둥 철근배근"&amp;CHAR(10)&amp;IF(D91&lt;='원자료·매핑'!$B$15,"반입 완료(가상)","반입 예정")</x:f>
        <x:v>112동 / 벽체·기둥 철근배근
반입 예정</x:v>
      </x:c>
    </x:row>
    <x:row r="92" ht="40" customHeight="1">
      <x:c r="A92" s="52"/>
      <x:c r="B92" s="45"/>
      <x:c r="C92" s="45"/>
      <x:c r="D92" s="99"/>
      <x:c r="E92" s="100"/>
      <x:c r="F92" s="97"/>
      <x:c r="G92" s="100" t="str">
        <x:f>IF(COUNT(F86:F92)=0,"",SUM(F86:F92))</x:f>
      </x:c>
      <x:c r="H92" s="97"/>
      <x:c r="I92" s="98"/>
      <x:c r="J92" s="99" t="n">
        <x:f>'원자료·매핑'!I52</x:f>
        <x:v>18</x:v>
      </x:c>
      <x:c r="K92" s="100" t="n">
        <x:f>'원자료·매핑'!O52</x:f>
        <x:v>3390</x:v>
      </x:c>
      <x:c r="L92" s="100" t="n">
        <x:f>IF(OR(E92="미산정",K92="미산정"),"미산정",IF(ISNUMBER(L91),L91+SUM(E92)-SUM(K92),"미산정"))</x:f>
        <x:v>5530</x:v>
      </x:c>
      <x:c r="M92" s="98"/>
      <x:c r="N92" s="98"/>
      <x:c r="O92" s="102" t="str">
        <x:f>"112동 / 벽체·기둥 철근배근"&amp;CHAR(10)&amp;IF('원자료·매핑'!U52=0,"미불출",IF('원자료·매핑'!U52=K92,"전량 불출(가상)","부분 불출 "&amp;TEXT('원자료·매핑'!U52,"#,##0")&amp;" / "&amp;TEXT(K92,"#,##0")&amp;" (가상)"))</x:f>
        <x:v>112동 / 벽체·기둥 철근배근
미불출</x:v>
      </x:c>
    </x:row>
    <x:row r="93" ht="40" customHeight="1">
      <x:c r="A93" s="52"/>
      <x:c r="B93" s="45"/>
      <x:c r="C93" s="45"/>
      <x:c r="D93" s="99"/>
      <x:c r="E93" s="100"/>
      <x:c r="F93" s="97"/>
      <x:c r="G93" s="100" t="str">
        <x:f>IF(COUNT(F86:F93)=0,"",SUM(F86:F93))</x:f>
      </x:c>
      <x:c r="H93" s="97"/>
      <x:c r="I93" s="98"/>
      <x:c r="J93" s="99" t="n">
        <x:f>'원자료·매핑'!I110</x:f>
        <x:v>22</x:v>
      </x:c>
      <x:c r="K93" s="100" t="n">
        <x:f>'원자료·매핑'!O110</x:f>
        <x:v>5530</x:v>
      </x:c>
      <x:c r="L93" s="100" t="n">
        <x:f>IF(OR(E93="미산정",K93="미산정"),"미산정",IF(ISNUMBER(L92),L92+SUM(E93)-SUM(K93),"미산정"))</x:f>
        <x:v>0</x:v>
      </x:c>
      <x:c r="M93" s="98"/>
      <x:c r="N93" s="98"/>
      <x:c r="O93" s="102" t="str">
        <x:f>"104동 / 보·슬래브 철근배근"&amp;CHAR(10)&amp;IF('원자료·매핑'!U110=0,"미불출",IF('원자료·매핑'!U110=K93,"전량 불출(가상)","부분 불출 "&amp;TEXT('원자료·매핑'!U110,"#,##0")&amp;" / "&amp;TEXT(K93,"#,##0")&amp;" (가상)"))</x:f>
        <x:v>104동 / 보·슬래브 철근배근
미불출</x:v>
      </x:c>
    </x:row>
    <x:row r="94" ht="40" customHeight="1">
      <x:c r="A94" s="52"/>
      <x:c r="B94" s="45"/>
      <x:c r="C94" s="45"/>
      <x:c r="D94" s="93" t="n">
        <x:f>'원자료·매핑'!R142</x:f>
        <x:v>26</x:v>
      </x:c>
      <x:c r="E94" s="94" t="n">
        <x:f>'원자료·매핑'!O142</x:f>
        <x:v>6490</x:v>
      </x:c>
      <x:c r="F94" s="97"/>
      <x:c r="G94" s="94" t="str">
        <x:f>IF(COUNT(F86:F94)=0,"",SUM(F86:F94))</x:f>
      </x:c>
      <x:c r="H94" s="97"/>
      <x:c r="I94" s="98"/>
      <x:c r="J94" s="93"/>
      <x:c r="K94" s="94"/>
      <x:c r="L94" s="94" t="n">
        <x:f>IF(OR(E94="미산정",K94="미산정"),"미산정",IF(ISNUMBER(L93),L93+SUM(E94)-SUM(K94),"미산정"))</x:f>
        <x:v>6490</x:v>
      </x:c>
      <x:c r="M94" s="98"/>
      <x:c r="N94" s="98"/>
      <x:c r="O94" s="96" t="str">
        <x:f>"105동 / 보·슬래브 철근배근"&amp;CHAR(10)&amp;IF(D94&lt;='원자료·매핑'!$B$15,"반입 완료(가상)","반입 예정")</x:f>
        <x:v>105동 / 보·슬래브 철근배근
반입 예정</x:v>
      </x:c>
    </x:row>
    <x:row r="95" ht="40" customHeight="1">
      <x:c r="A95" s="52"/>
      <x:c r="B95" s="45"/>
      <x:c r="C95" s="45"/>
      <x:c r="D95" s="99"/>
      <x:c r="E95" s="100"/>
      <x:c r="F95" s="97"/>
      <x:c r="G95" s="100" t="str">
        <x:f>IF(COUNT(F86:F95)=0,"",SUM(F86:F95))</x:f>
      </x:c>
      <x:c r="H95" s="97"/>
      <x:c r="I95" s="98"/>
      <x:c r="J95" s="99" t="n">
        <x:f>'원자료·매핑'!I142</x:f>
        <x:v>27</x:v>
      </x:c>
      <x:c r="K95" s="100" t="n">
        <x:f>'원자료·매핑'!O142</x:f>
        <x:v>6490</x:v>
      </x:c>
      <x:c r="L95" s="100" t="n">
        <x:f>IF(OR(E95="미산정",K95="미산정"),"미산정",IF(ISNUMBER(L94),L94+SUM(E95)-SUM(K95),"미산정"))</x:f>
        <x:v>0</x:v>
      </x:c>
      <x:c r="M95" s="98"/>
      <x:c r="N95" s="98"/>
      <x:c r="O95" s="102" t="str">
        <x:f>"105동 / 보·슬래브 철근배근"&amp;CHAR(10)&amp;IF('원자료·매핑'!U142=0,"미불출",IF('원자료·매핑'!U142=K95,"전량 불출(가상)","부분 불출 "&amp;TEXT('원자료·매핑'!U142,"#,##0")&amp;" / "&amp;TEXT(K95,"#,##0")&amp;" (가상)"))</x:f>
        <x:v>105동 / 보·슬래브 철근배근
미불출</x:v>
      </x:c>
    </x:row>
    <x:row r="96" ht="40" customHeight="1">
      <x:c r="A96" s="52"/>
      <x:c r="B96" s="45"/>
      <x:c r="C96" s="45"/>
      <x:c r="D96" s="93" t="n">
        <x:f>'원자료·매핑'!R78</x:f>
        <x:v>36</x:v>
      </x:c>
      <x:c r="E96" s="94" t="n">
        <x:f>'원자료·매핑'!O78</x:f>
        <x:v>6010</x:v>
      </x:c>
      <x:c r="F96" s="97"/>
      <x:c r="G96" s="94" t="str">
        <x:f>IF(COUNT(F86:F96)=0,"",SUM(F86:F96))</x:f>
      </x:c>
      <x:c r="H96" s="97"/>
      <x:c r="I96" s="98"/>
      <x:c r="J96" s="93"/>
      <x:c r="K96" s="94"/>
      <x:c r="L96" s="94" t="n">
        <x:f>IF(OR(E96="미산정",K96="미산정"),"미산정",IF(ISNUMBER(L95),L95+SUM(E96)-SUM(K96),"미산정"))</x:f>
        <x:v>6010</x:v>
      </x:c>
      <x:c r="M96" s="98"/>
      <x:c r="N96" s="98"/>
      <x:c r="O96" s="96" t="str">
        <x:f>"112동 / 보·슬래브 철근배근"&amp;CHAR(10)&amp;IF(D96&lt;='원자료·매핑'!$B$15,"반입 완료(가상)","반입 예정")</x:f>
        <x:v>112동 / 보·슬래브 철근배근
반입 예정</x:v>
      </x:c>
    </x:row>
    <x:row r="97" ht="40" customHeight="1">
      <x:c r="A97" s="52"/>
      <x:c r="B97" s="45"/>
      <x:c r="C97" s="45"/>
      <x:c r="D97" s="99"/>
      <x:c r="E97" s="100"/>
      <x:c r="F97" s="97"/>
      <x:c r="G97" s="100" t="str">
        <x:f>IF(COUNT(F86:F97)=0,"",SUM(F86:F97))</x:f>
      </x:c>
      <x:c r="H97" s="97"/>
      <x:c r="I97" s="98"/>
      <x:c r="J97" s="99" t="n">
        <x:f>'원자료·매핑'!I78</x:f>
        <x:v>37</x:v>
      </x:c>
      <x:c r="K97" s="100" t="n">
        <x:f>'원자료·매핑'!O78</x:f>
        <x:v>6010</x:v>
      </x:c>
      <x:c r="L97" s="100" t="n">
        <x:f>IF(OR(E97="미산정",K97="미산정"),"미산정",IF(ISNUMBER(L96),L96+SUM(E97)-SUM(K97),"미산정"))</x:f>
        <x:v>0</x:v>
      </x:c>
      <x:c r="M97" s="98"/>
      <x:c r="N97" s="98"/>
      <x:c r="O97" s="102" t="str">
        <x:f>"112동 / 보·슬래브 철근배근"&amp;CHAR(10)&amp;IF('원자료·매핑'!U78=0,"미불출",IF('원자료·매핑'!U78=K97,"전량 불출(가상)","부분 불출 "&amp;TEXT('원자료·매핑'!U78,"#,##0")&amp;" / "&amp;TEXT(K97,"#,##0")&amp;" (가상)"))</x:f>
        <x:v>112동 / 보·슬래브 철근배근
미불출</x:v>
      </x:c>
    </x:row>
    <x:row r="98" ht="40" customHeight="1">
      <x:c r="A98" s="52"/>
      <x:c r="B98" s="45"/>
      <x:c r="C98" s="45"/>
      <x:c r="D98" s="93" t="n">
        <x:f>'원자료·매핑'!R20</x:f>
        <x:v>42</x:v>
      </x:c>
      <x:c r="E98" s="94" t="n">
        <x:f>'원자료·매핑'!O20</x:f>
        <x:v>2910</x:v>
      </x:c>
      <x:c r="F98" s="97"/>
      <x:c r="G98" s="94" t="str">
        <x:f>IF(COUNT(F86:F98)=0,"",SUM(F86:F98))</x:f>
      </x:c>
      <x:c r="H98" s="97"/>
      <x:c r="I98" s="98"/>
      <x:c r="J98" s="93"/>
      <x:c r="K98" s="94"/>
      <x:c r="L98" s="94" t="n">
        <x:f>IF(OR(E98="미산정",K98="미산정"),"미산정",IF(ISNUMBER(L97),L97+SUM(E98)-SUM(K98),"미산정"))</x:f>
        <x:v>2910</x:v>
      </x:c>
      <x:c r="M98" s="98"/>
      <x:c r="N98" s="98"/>
      <x:c r="O98" s="96" t="str">
        <x:f>"113동 / 벽체·기둥 철근배근"&amp;CHAR(10)&amp;IF(D98&lt;='원자료·매핑'!$B$15,"반입 완료(가상)","반입 예정")</x:f>
        <x:v>113동 / 벽체·기둥 철근배근
반입 예정</x:v>
      </x:c>
    </x:row>
    <x:row r="99" ht="40" customHeight="1">
      <x:c r="A99" s="52"/>
      <x:c r="B99" s="45"/>
      <x:c r="C99" s="45"/>
      <x:c r="D99" s="99"/>
      <x:c r="E99" s="100"/>
      <x:c r="F99" s="97"/>
      <x:c r="G99" s="100" t="str">
        <x:f>IF(COUNT(F86:F99)=0,"",SUM(F86:F99))</x:f>
      </x:c>
      <x:c r="H99" s="97"/>
      <x:c r="I99" s="98"/>
      <x:c r="J99" s="99" t="n">
        <x:f>'원자료·매핑'!I20</x:f>
        <x:v>43</x:v>
      </x:c>
      <x:c r="K99" s="100" t="n">
        <x:f>'원자료·매핑'!O20</x:f>
        <x:v>2910</x:v>
      </x:c>
      <x:c r="L99" s="100" t="n">
        <x:f>IF(OR(E99="미산정",K99="미산정"),"미산정",IF(ISNUMBER(L98),L98+SUM(E99)-SUM(K99),"미산정"))</x:f>
        <x:v>0</x:v>
      </x:c>
      <x:c r="M99" s="98"/>
      <x:c r="N99" s="98"/>
      <x:c r="O99" s="102" t="str">
        <x:f>"113동 / 벽체·기둥 철근배근"&amp;CHAR(10)&amp;IF('원자료·매핑'!U20=0,"미불출",IF('원자료·매핑'!U20=K99,"전량 불출(가상)","부분 불출 "&amp;TEXT('원자료·매핑'!U20,"#,##0")&amp;" / "&amp;TEXT(K99,"#,##0")&amp;" (가상)"))</x:f>
        <x:v>113동 / 벽체·기둥 철근배근
미불출</x:v>
      </x:c>
    </x:row>
    <x:row r="100" ht="40" customHeight="1">
      <x:c r="A100" s="52"/>
      <x:c r="B100" s="45"/>
      <x:c r="C100" s="45"/>
      <x:c r="D100" s="93" t="n">
        <x:f>'원자료·매핑'!R46</x:f>
        <x:v>61</x:v>
      </x:c>
      <x:c r="E100" s="94" t="n">
        <x:f>'원자료·매핑'!O46</x:f>
        <x:v>5040</x:v>
      </x:c>
      <x:c r="F100" s="97"/>
      <x:c r="G100" s="94" t="str">
        <x:f>IF(COUNT(F86:F100)=0,"",SUM(F86:F100))</x:f>
      </x:c>
      <x:c r="H100" s="97"/>
      <x:c r="I100" s="98"/>
      <x:c r="J100" s="93"/>
      <x:c r="K100" s="94"/>
      <x:c r="L100" s="94" t="n">
        <x:f>IF(OR(E100="미산정",K100="미산정"),"미산정",IF(ISNUMBER(L99),L99+SUM(E100)-SUM(K100),"미산정"))</x:f>
        <x:v>5040</x:v>
      </x:c>
      <x:c r="M100" s="98"/>
      <x:c r="N100" s="98"/>
      <x:c r="O100" s="96" t="str">
        <x:f>"113동 / 보·슬래브 철근배근"&amp;CHAR(10)&amp;IF(D100&lt;='원자료·매핑'!$B$15,"반입 완료(가상)","반입 예정")</x:f>
        <x:v>113동 / 보·슬래브 철근배근
반입 예정</x:v>
      </x:c>
    </x:row>
    <x:row r="101" ht="40" customHeight="1">
      <x:c r="A101" s="52"/>
      <x:c r="B101" s="45"/>
      <x:c r="C101" s="45"/>
      <x:c r="D101" s="99"/>
      <x:c r="E101" s="100"/>
      <x:c r="F101" s="97"/>
      <x:c r="G101" s="100" t="str">
        <x:f>IF(COUNT(F86:F101)=0,"",SUM(F86:F101))</x:f>
      </x:c>
      <x:c r="H101" s="97"/>
      <x:c r="I101" s="98"/>
      <x:c r="J101" s="99" t="n">
        <x:f>'원자료·매핑'!I46</x:f>
        <x:v>62</x:v>
      </x:c>
      <x:c r="K101" s="100" t="n">
        <x:f>'원자료·매핑'!O46</x:f>
        <x:v>5040</x:v>
      </x:c>
      <x:c r="L101" s="100" t="n">
        <x:f>IF(OR(E101="미산정",K101="미산정"),"미산정",IF(ISNUMBER(L100),L100+SUM(E101)-SUM(K101),"미산정"))</x:f>
        <x:v>0</x:v>
      </x:c>
      <x:c r="M101" s="98"/>
      <x:c r="N101" s="98"/>
      <x:c r="O101" s="102" t="str">
        <x:f>"113동 / 보·슬래브 철근배근"&amp;CHAR(10)&amp;IF('원자료·매핑'!U46=0,"미불출",IF('원자료·매핑'!U46=K101,"전량 불출(가상)","부분 불출 "&amp;TEXT('원자료·매핑'!U46,"#,##0")&amp;" / "&amp;TEXT(K101,"#,##0")&amp;" (가상)"))</x:f>
        <x:v>113동 / 보·슬래브 철근배근
미불출</x:v>
      </x:c>
    </x:row>
    <x:row r="102" ht="32" customHeight="1">
      <x:c r="A102" s="53" t="str">
        <x:v>합계 / 최종 계획잔량</x:v>
      </x:c>
      <x:c r="B102" s="49"/>
      <x:c r="C102" s="49"/>
      <x:c r="D102" s="63"/>
      <x:c r="E102" s="64" t="n">
        <x:f>IF(COUNTIFS(E86:E101,"미산정")&gt;0,"미산정",SUM(E86:E101))</x:f>
        <x:v>36150</x:v>
      </x:c>
      <x:c r="F102" s="64" t="str">
        <x:f>IF(COUNT(F86:F101)=0,"",SUM(F86:F101))</x:f>
      </x:c>
      <x:c r="G102" s="64" t="str">
        <x:f>G101</x:f>
      </x:c>
      <x:c r="H102" s="64" t="str">
        <x:f>IF(COUNT(H86:H101)=0,"",SUM(H86:H101))</x:f>
      </x:c>
      <x:c r="I102" s="63"/>
      <x:c r="J102" s="63"/>
      <x:c r="K102" s="64" t="n">
        <x:f>IF(COUNTIFS(K86:K101,"미산정")&gt;0,"미산정",SUM(K86:K101))</x:f>
        <x:v>36150</x:v>
      </x:c>
      <x:c r="L102" s="64" t="n">
        <x:f>L101</x:f>
        <x:v>0</x:v>
      </x:c>
      <x:c r="M102" s="63"/>
      <x:c r="N102" s="63"/>
      <x:c r="O102" s="49"/>
    </x:row>
    <x:row r="103" ht="26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 ht="26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 ht="34" customHeight="1">
      <x:c r="A105" s="38" t="str">
        <x:v>05. 주요자재 검사 및 수불부</x:v>
      </x:c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</x:row>
    <x:row r="106" ht="28" customHeight="1">
      <x:c r="A106" s="39" t="str">
        <x:v>품명: 철근 / D22</x:v>
      </x:c>
      <x:c r="B106" s="39"/>
      <x:c r="C106" s="39"/>
      <x:c r="D106" s="39"/>
      <x:c r="E106" s="39"/>
      <x:c r="F106" s="39"/>
      <x:c r="G106" s="39"/>
      <x:c r="H106" s="39"/>
      <x:c r="I106" s="39"/>
      <x:c r="J106" s="39" t="str">
        <x:v>단위: kg / SD500 / 길이 미제공</x:v>
      </x:c>
      <x:c r="K106" s="39"/>
      <x:c r="L106" s="39"/>
      <x:c r="M106" s="39"/>
      <x:c r="N106" s="39"/>
      <x:c r="O106" s="39"/>
    </x:row>
    <x:row r="107" ht="32" customHeight="1">
      <x:c r="A107" s="4" t="str">
        <x:v>반입·불출 수량은 전체 계획. O열에는 기준일 진행 상태를 구분. 사진에서 검사 합격·규격·수량을 확정하지 않음.</x:v>
      </x:c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 ht="30" customHeight="1">
      <x:c r="A108" s="92" t="str">
        <x:f>"기준 WD "&amp;'원자료·매핑'!$B$15&amp;"  기반입 "&amp;TEXT(SUMIFS('원자료·매핑'!$T$17:$T$144,'원자료·매핑'!$D$17:$D$144,"RB-D22"),"#,##0")&amp;" / 기불출 "&amp;TEXT(SUMIFS('원자료·매핑'!$U$17:$U$144,'원자료·매핑'!$D$17:$D$144,"RB-D22"),"#,##0")&amp;" / 현재 야적 "&amp;TEXT(SUMIFS('원자료·매핑'!$V$17:$V$144,'원자료·매핑'!$D$17:$D$144,"RB-D22"),"#,##0")&amp;" (가상)"</x:f>
        <x:v>기준 WD 10  기반입 13,180 / 기불출 7,048 / 현재 야적 6,132 (가상)</x:v>
      </x:c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</x:row>
    <x:row r="109" ht="27" customHeight="1">
      <x:c r="A109" s="44" t="str">
        <x:v>계획량
(가상)</x:v>
      </x:c>
      <x:c r="B109" s="44" t="str">
        <x:v>단위</x:v>
      </x:c>
      <x:c r="C109" s="44" t="str">
        <x:v>규격</x:v>
      </x:c>
      <x:c r="D109" s="44" t="str">
        <x:v>반입일
(적용 WD)</x:v>
      </x:c>
      <x:c r="E109" s="44" t="str">
        <x:v>반입량
(계획)</x:v>
      </x:c>
      <x:c r="F109" s="44" t="str">
        <x:v>합격량</x:v>
      </x:c>
      <x:c r="G109" s="44"/>
      <x:c r="H109" s="44" t="str">
        <x:v>불합격</x:v>
      </x:c>
      <x:c r="I109" s="44"/>
      <x:c r="J109" s="44" t="str">
        <x:v>출고일
(예정 WD)</x:v>
      </x:c>
      <x:c r="K109" s="44" t="str">
        <x:v>출고량
(계획)</x:v>
      </x:c>
      <x:c r="L109" s="44" t="str">
        <x:v>계획잔량</x:v>
      </x:c>
      <x:c r="M109" s="44" t="str">
        <x:v>검사자</x:v>
      </x:c>
      <x:c r="N109" s="44" t="str">
        <x:v>서명</x:v>
      </x:c>
      <x:c r="O109" s="44" t="str">
        <x:v>사용동 · 공정</x:v>
      </x:c>
    </x:row>
    <x:row r="110" ht="27" customHeight="1">
      <x:c r="A110" s="44"/>
      <x:c r="B110" s="44"/>
      <x:c r="C110" s="44"/>
      <x:c r="D110" s="44"/>
      <x:c r="E110" s="44"/>
      <x:c r="F110" s="44" t="str">
        <x:v>금회</x:v>
      </x:c>
      <x:c r="G110" s="44" t="str">
        <x:v>누계</x:v>
      </x:c>
      <x:c r="H110" s="44" t="str">
        <x:v>수량</x:v>
      </x:c>
      <x:c r="I110" s="44" t="str">
        <x:v>사유</x:v>
      </x:c>
      <x:c r="J110" s="44"/>
      <x:c r="K110" s="44"/>
      <x:c r="L110" s="44"/>
      <x:c r="M110" s="44"/>
      <x:c r="N110" s="44"/>
      <x:c r="O110" s="44"/>
    </x:row>
    <x:row r="111" ht="40" customHeight="1">
      <x:c r="A111" s="52" t="n">
        <x:f>IF(COUNTIFS('원자료·매핑'!$D$17:$D$144,"RB-D22",'원자료·매핑'!$O$17:$O$144,"미산정")&gt;0,"미산정",SUMIFS('원자료·매핑'!$O$17:$O$144,'원자료·매핑'!$D$17:$D$144,"RB-D22"))</x:f>
        <x:v>34720</x:v>
      </x:c>
      <x:c r="B111" s="45" t="str">
        <x:v>kg</x:v>
      </x:c>
      <x:c r="C111" s="45" t="str">
        <x:v>D22
SD500 D22 / 부위별 공장 가공
길이 미제공</x:v>
      </x:c>
      <x:c r="D111" s="93" t="n">
        <x:f>'원자료·매핑'!R85</x:f>
        <x:v>2</x:v>
      </x:c>
      <x:c r="E111" s="94" t="n">
        <x:f>'원자료·매핑'!O85</x:f>
        <x:v>4060</x:v>
      </x:c>
      <x:c r="F111" s="97"/>
      <x:c r="G111" s="94" t="str">
        <x:f>IF(COUNT(F111:F111)=0,"",SUM(F111:F111))</x:f>
      </x:c>
      <x:c r="H111" s="97"/>
      <x:c r="I111" s="98"/>
      <x:c r="J111" s="93"/>
      <x:c r="K111" s="94"/>
      <x:c r="L111" s="94" t="n">
        <x:f>IF(OR(E111="미산정",K111="미산정"),"미산정",IF(ISNUMBER('원자료·매핑'!$B$9),'원자료·매핑'!$B$9+SUM(E111)-SUM(K111),"미산정"))</x:f>
        <x:v>4060</x:v>
      </x:c>
      <x:c r="M111" s="98"/>
      <x:c r="N111" s="98"/>
      <x:c r="O111" s="96" t="str">
        <x:f>"104동 / 벽체·기둥 철근배근"&amp;CHAR(10)&amp;IF(D111&lt;='원자료·매핑'!$B$15,"반입 완료(가상)","반입 예정")</x:f>
        <x:v>104동 / 벽체·기둥 철근배근
반입 완료(가상)</x:v>
      </x:c>
    </x:row>
    <x:row r="112" ht="40" customHeight="1">
      <x:c r="A112" s="52"/>
      <x:c r="B112" s="45"/>
      <x:c r="C112" s="45"/>
      <x:c r="D112" s="99"/>
      <x:c r="E112" s="100"/>
      <x:c r="F112" s="97"/>
      <x:c r="G112" s="100" t="str">
        <x:f>IF(COUNT(F111:F112)=0,"",SUM(F111:F112))</x:f>
      </x:c>
      <x:c r="H112" s="97"/>
      <x:c r="I112" s="98"/>
      <x:c r="J112" s="99" t="n">
        <x:f>'원자료·매핑'!I85</x:f>
        <x:v>3</x:v>
      </x:c>
      <x:c r="K112" s="100" t="n">
        <x:f>'원자료·매핑'!O85</x:f>
        <x:v>4060</x:v>
      </x:c>
      <x:c r="L112" s="100" t="n">
        <x:f>IF(OR(E112="미산정",K112="미산정"),"미산정",IF(ISNUMBER(L111),L111+SUM(E112)-SUM(K112),"미산정"))</x:f>
        <x:v>0</x:v>
      </x:c>
      <x:c r="M112" s="98"/>
      <x:c r="N112" s="98"/>
      <x:c r="O112" s="102" t="str">
        <x:f>"104동 / 벽체·기둥 철근배근"&amp;CHAR(10)&amp;IF('원자료·매핑'!U85=0,"미불출",IF('원자료·매핑'!U85=K112,"전량 불출(가상)","부분 불출 "&amp;TEXT('원자료·매핑'!U85,"#,##0")&amp;" / "&amp;TEXT(K112,"#,##0")&amp;" (가상)"))</x:f>
        <x:v>104동 / 벽체·기둥 철근배근
전량 불출(가상)</x:v>
      </x:c>
    </x:row>
    <x:row r="113" ht="40" customHeight="1">
      <x:c r="A113" s="52"/>
      <x:c r="B113" s="45"/>
      <x:c r="C113" s="45"/>
      <x:c r="D113" s="93" t="n">
        <x:f>'원자료·매핑'!R117</x:f>
        <x:v>7</x:v>
      </x:c>
      <x:c r="E113" s="94" t="n">
        <x:f>'원자료·매핑'!O117</x:f>
        <x:v>4980</x:v>
      </x:c>
      <x:c r="F113" s="97"/>
      <x:c r="G113" s="94" t="str">
        <x:f>IF(COUNT(F111:F113)=0,"",SUM(F111:F113))</x:f>
      </x:c>
      <x:c r="H113" s="97"/>
      <x:c r="I113" s="98"/>
      <x:c r="J113" s="93"/>
      <x:c r="K113" s="94"/>
      <x:c r="L113" s="94" t="n">
        <x:f>IF(OR(E113="미산정",K113="미산정"),"미산정",IF(ISNUMBER(L112),L112+SUM(E113)-SUM(K113),"미산정"))</x:f>
        <x:v>4980</x:v>
      </x:c>
      <x:c r="M113" s="98"/>
      <x:c r="N113" s="98"/>
      <x:c r="O113" s="96" t="str">
        <x:f>"105동 / 벽체·기둥 철근배근"&amp;CHAR(10)&amp;IF(D113&lt;='원자료·매핑'!$B$15,"반입 완료(가상)","반입 예정")</x:f>
        <x:v>105동 / 벽체·기둥 철근배근
반입 완료(가상)</x:v>
      </x:c>
    </x:row>
    <x:row r="114" ht="40" customHeight="1">
      <x:c r="A114" s="52"/>
      <x:c r="B114" s="45"/>
      <x:c r="C114" s="45"/>
      <x:c r="D114" s="99"/>
      <x:c r="E114" s="100"/>
      <x:c r="F114" s="97"/>
      <x:c r="G114" s="100" t="str">
        <x:f>IF(COUNT(F111:F114)=0,"",SUM(F111:F114))</x:f>
      </x:c>
      <x:c r="H114" s="97"/>
      <x:c r="I114" s="98"/>
      <x:c r="J114" s="99" t="n">
        <x:f>'원자료·매핑'!I117</x:f>
        <x:v>8</x:v>
      </x:c>
      <x:c r="K114" s="100" t="n">
        <x:f>'원자료·매핑'!O117</x:f>
        <x:v>4980</x:v>
      </x:c>
      <x:c r="L114" s="100" t="n">
        <x:f>IF(OR(E114="미산정",K114="미산정"),"미산정",IF(ISNUMBER(L113),L113+SUM(E114)-SUM(K114),"미산정"))</x:f>
        <x:v>0</x:v>
      </x:c>
      <x:c r="M114" s="98"/>
      <x:c r="N114" s="98"/>
      <x:c r="O114" s="102" t="str">
        <x:f>"105동 / 벽체·기둥 철근배근"&amp;CHAR(10)&amp;IF('원자료·매핑'!U117=0,"미불출",IF('원자료·매핑'!U117=K114,"전량 불출(가상)","부분 불출 "&amp;TEXT('원자료·매핑'!U117,"#,##0")&amp;" / "&amp;TEXT(K114,"#,##0")&amp;" (가상)"))</x:f>
        <x:v>105동 / 벽체·기둥 철근배근
부분 불출 2,988 / 4,980 (가상)</x:v>
      </x:c>
    </x:row>
    <x:row r="115" ht="40" customHeight="1">
      <x:c r="A115" s="52"/>
      <x:c r="B115" s="45"/>
      <x:c r="C115" s="45"/>
      <x:c r="D115" s="93" t="n">
        <x:f>'원자료·매핑'!R111</x:f>
        <x:v>10</x:v>
      </x:c>
      <x:c r="E115" s="94" t="n">
        <x:f>'원자료·매핑'!O111</x:f>
        <x:v>4140</x:v>
      </x:c>
      <x:c r="F115" s="97"/>
      <x:c r="G115" s="94" t="str">
        <x:f>IF(COUNT(F111:F115)=0,"",SUM(F111:F115))</x:f>
      </x:c>
      <x:c r="H115" s="97"/>
      <x:c r="I115" s="98"/>
      <x:c r="J115" s="93"/>
      <x:c r="K115" s="94"/>
      <x:c r="L115" s="94" t="n">
        <x:f>IF(OR(E115="미산정",K115="미산정"),"미산정",IF(ISNUMBER(L114),L114+SUM(E115)-SUM(K115),"미산정"))</x:f>
        <x:v>4140</x:v>
      </x:c>
      <x:c r="M115" s="98"/>
      <x:c r="N115" s="98"/>
      <x:c r="O115" s="96" t="str">
        <x:f>"104동 / 보·슬래브 철근배근"&amp;CHAR(10)&amp;IF(D115&lt;='원자료·매핑'!$B$15,"반입 완료(가상)","반입 예정")</x:f>
        <x:v>104동 / 보·슬래브 철근배근
반입 완료(가상)</x:v>
      </x:c>
    </x:row>
    <x:row r="116" ht="40" customHeight="1">
      <x:c r="A116" s="52"/>
      <x:c r="B116" s="45"/>
      <x:c r="C116" s="45"/>
      <x:c r="D116" s="93" t="n">
        <x:f>'원자료·매핑'!R53</x:f>
        <x:v>17</x:v>
      </x:c>
      <x:c r="E116" s="94" t="n">
        <x:f>'원자료·매핑'!O53</x:f>
        <x:v>4520</x:v>
      </x:c>
      <x:c r="F116" s="97"/>
      <x:c r="G116" s="94" t="str">
        <x:f>IF(COUNT(F111:F116)=0,"",SUM(F111:F116))</x:f>
      </x:c>
      <x:c r="H116" s="97"/>
      <x:c r="I116" s="98"/>
      <x:c r="J116" s="93"/>
      <x:c r="K116" s="94"/>
      <x:c r="L116" s="94" t="n">
        <x:f>IF(OR(E116="미산정",K116="미산정"),"미산정",IF(ISNUMBER(L115),L115+SUM(E116)-SUM(K116),"미산정"))</x:f>
        <x:v>8660</x:v>
      </x:c>
      <x:c r="M116" s="98"/>
      <x:c r="N116" s="98"/>
      <x:c r="O116" s="96" t="str">
        <x:f>"112동 / 벽체·기둥 철근배근"&amp;CHAR(10)&amp;IF(D116&lt;='원자료·매핑'!$B$15,"반입 완료(가상)","반입 예정")</x:f>
        <x:v>112동 / 벽체·기둥 철근배근
반입 예정</x:v>
      </x:c>
    </x:row>
    <x:row r="117" ht="40" customHeight="1">
      <x:c r="A117" s="52"/>
      <x:c r="B117" s="45"/>
      <x:c r="C117" s="45"/>
      <x:c r="D117" s="99"/>
      <x:c r="E117" s="100"/>
      <x:c r="F117" s="97"/>
      <x:c r="G117" s="100" t="str">
        <x:f>IF(COUNT(F111:F117)=0,"",SUM(F111:F117))</x:f>
      </x:c>
      <x:c r="H117" s="97"/>
      <x:c r="I117" s="98"/>
      <x:c r="J117" s="99" t="n">
        <x:f>'원자료·매핑'!I53</x:f>
        <x:v>18</x:v>
      </x:c>
      <x:c r="K117" s="100" t="n">
        <x:f>'원자료·매핑'!O53</x:f>
        <x:v>4520</x:v>
      </x:c>
      <x:c r="L117" s="100" t="n">
        <x:f>IF(OR(E117="미산정",K117="미산정"),"미산정",IF(ISNUMBER(L116),L116+SUM(E117)-SUM(K117),"미산정"))</x:f>
        <x:v>4140</x:v>
      </x:c>
      <x:c r="M117" s="98"/>
      <x:c r="N117" s="98"/>
      <x:c r="O117" s="102" t="str">
        <x:f>"112동 / 벽체·기둥 철근배근"&amp;CHAR(10)&amp;IF('원자료·매핑'!U53=0,"미불출",IF('원자료·매핑'!U53=K117,"전량 불출(가상)","부분 불출 "&amp;TEXT('원자료·매핑'!U53,"#,##0")&amp;" / "&amp;TEXT(K117,"#,##0")&amp;" (가상)"))</x:f>
        <x:v>112동 / 벽체·기둥 철근배근
미불출</x:v>
      </x:c>
    </x:row>
    <x:row r="118" ht="40" customHeight="1">
      <x:c r="A118" s="52"/>
      <x:c r="B118" s="45"/>
      <x:c r="C118" s="45"/>
      <x:c r="D118" s="99"/>
      <x:c r="E118" s="100"/>
      <x:c r="F118" s="97"/>
      <x:c r="G118" s="100" t="str">
        <x:f>IF(COUNT(F111:F118)=0,"",SUM(F111:F118))</x:f>
      </x:c>
      <x:c r="H118" s="97"/>
      <x:c r="I118" s="98"/>
      <x:c r="J118" s="99" t="n">
        <x:f>'원자료·매핑'!I111</x:f>
        <x:v>22</x:v>
      </x:c>
      <x:c r="K118" s="100" t="n">
        <x:f>'원자료·매핑'!O111</x:f>
        <x:v>4140</x:v>
      </x:c>
      <x:c r="L118" s="100" t="n">
        <x:f>IF(OR(E118="미산정",K118="미산정"),"미산정",IF(ISNUMBER(L117),L117+SUM(E118)-SUM(K118),"미산정"))</x:f>
        <x:v>0</x:v>
      </x:c>
      <x:c r="M118" s="98"/>
      <x:c r="N118" s="98"/>
      <x:c r="O118" s="102" t="str">
        <x:f>"104동 / 보·슬래브 철근배근"&amp;CHAR(10)&amp;IF('원자료·매핑'!U111=0,"미불출",IF('원자료·매핑'!U111=K118,"전량 불출(가상)","부분 불출 "&amp;TEXT('원자료·매핑'!U111,"#,##0")&amp;" / "&amp;TEXT(K118,"#,##0")&amp;" (가상)"))</x:f>
        <x:v>104동 / 보·슬래브 철근배근
미불출</x:v>
      </x:c>
    </x:row>
    <x:row r="119" ht="40" customHeight="1">
      <x:c r="A119" s="52"/>
      <x:c r="B119" s="45"/>
      <x:c r="C119" s="45"/>
      <x:c r="D119" s="93" t="n">
        <x:f>'원자료·매핑'!R143</x:f>
        <x:v>26</x:v>
      </x:c>
      <x:c r="E119" s="94" t="n">
        <x:f>'원자료·매핑'!O143</x:f>
        <x:v>4860</x:v>
      </x:c>
      <x:c r="F119" s="97"/>
      <x:c r="G119" s="94" t="str">
        <x:f>IF(COUNT(F111:F119)=0,"",SUM(F111:F119))</x:f>
      </x:c>
      <x:c r="H119" s="97"/>
      <x:c r="I119" s="98"/>
      <x:c r="J119" s="93"/>
      <x:c r="K119" s="94"/>
      <x:c r="L119" s="94" t="n">
        <x:f>IF(OR(E119="미산정",K119="미산정"),"미산정",IF(ISNUMBER(L118),L118+SUM(E119)-SUM(K119),"미산정"))</x:f>
        <x:v>4860</x:v>
      </x:c>
      <x:c r="M119" s="98"/>
      <x:c r="N119" s="98"/>
      <x:c r="O119" s="96" t="str">
        <x:f>"105동 / 보·슬래브 철근배근"&amp;CHAR(10)&amp;IF(D119&lt;='원자료·매핑'!$B$15,"반입 완료(가상)","반입 예정")</x:f>
        <x:v>105동 / 보·슬래브 철근배근
반입 예정</x:v>
      </x:c>
    </x:row>
    <x:row r="120" ht="40" customHeight="1">
      <x:c r="A120" s="52"/>
      <x:c r="B120" s="45"/>
      <x:c r="C120" s="45"/>
      <x:c r="D120" s="99"/>
      <x:c r="E120" s="100"/>
      <x:c r="F120" s="97"/>
      <x:c r="G120" s="100" t="str">
        <x:f>IF(COUNT(F111:F120)=0,"",SUM(F111:F120))</x:f>
      </x:c>
      <x:c r="H120" s="97"/>
      <x:c r="I120" s="98"/>
      <x:c r="J120" s="99" t="n">
        <x:f>'원자료·매핑'!I143</x:f>
        <x:v>27</x:v>
      </x:c>
      <x:c r="K120" s="100" t="n">
        <x:f>'원자료·매핑'!O143</x:f>
        <x:v>4860</x:v>
      </x:c>
      <x:c r="L120" s="100" t="n">
        <x:f>IF(OR(E120="미산정",K120="미산정"),"미산정",IF(ISNUMBER(L119),L119+SUM(E120)-SUM(K120),"미산정"))</x:f>
        <x:v>0</x:v>
      </x:c>
      <x:c r="M120" s="98"/>
      <x:c r="N120" s="98"/>
      <x:c r="O120" s="102" t="str">
        <x:f>"105동 / 보·슬래브 철근배근"&amp;CHAR(10)&amp;IF('원자료·매핑'!U143=0,"미불출",IF('원자료·매핑'!U143=K120,"전량 불출(가상)","부분 불출 "&amp;TEXT('원자료·매핑'!U143,"#,##0")&amp;" / "&amp;TEXT(K120,"#,##0")&amp;" (가상)"))</x:f>
        <x:v>105동 / 보·슬래브 철근배근
미불출</x:v>
      </x:c>
    </x:row>
    <x:row r="121" ht="40" customHeight="1">
      <x:c r="A121" s="52"/>
      <x:c r="B121" s="45"/>
      <x:c r="C121" s="45"/>
      <x:c r="D121" s="93" t="n">
        <x:f>'원자료·매핑'!R79</x:f>
        <x:v>36</x:v>
      </x:c>
      <x:c r="E121" s="94" t="n">
        <x:f>'원자료·매핑'!O79</x:f>
        <x:v>4500</x:v>
      </x:c>
      <x:c r="F121" s="97"/>
      <x:c r="G121" s="94" t="str">
        <x:f>IF(COUNT(F111:F121)=0,"",SUM(F111:F121))</x:f>
      </x:c>
      <x:c r="H121" s="97"/>
      <x:c r="I121" s="98"/>
      <x:c r="J121" s="93"/>
      <x:c r="K121" s="94"/>
      <x:c r="L121" s="94" t="n">
        <x:f>IF(OR(E121="미산정",K121="미산정"),"미산정",IF(ISNUMBER(L120),L120+SUM(E121)-SUM(K121),"미산정"))</x:f>
        <x:v>4500</x:v>
      </x:c>
      <x:c r="M121" s="98"/>
      <x:c r="N121" s="98"/>
      <x:c r="O121" s="96" t="str">
        <x:f>"112동 / 보·슬래브 철근배근"&amp;CHAR(10)&amp;IF(D121&lt;='원자료·매핑'!$B$15,"반입 완료(가상)","반입 예정")</x:f>
        <x:v>112동 / 보·슬래브 철근배근
반입 예정</x:v>
      </x:c>
    </x:row>
    <x:row r="122" ht="40" customHeight="1">
      <x:c r="A122" s="52"/>
      <x:c r="B122" s="45"/>
      <x:c r="C122" s="45"/>
      <x:c r="D122" s="99"/>
      <x:c r="E122" s="100"/>
      <x:c r="F122" s="97"/>
      <x:c r="G122" s="100" t="str">
        <x:f>IF(COUNT(F111:F122)=0,"",SUM(F111:F122))</x:f>
      </x:c>
      <x:c r="H122" s="97"/>
      <x:c r="I122" s="98"/>
      <x:c r="J122" s="99" t="n">
        <x:f>'원자료·매핑'!I79</x:f>
        <x:v>37</x:v>
      </x:c>
      <x:c r="K122" s="100" t="n">
        <x:f>'원자료·매핑'!O79</x:f>
        <x:v>4500</x:v>
      </x:c>
      <x:c r="L122" s="100" t="n">
        <x:f>IF(OR(E122="미산정",K122="미산정"),"미산정",IF(ISNUMBER(L121),L121+SUM(E122)-SUM(K122),"미산정"))</x:f>
        <x:v>0</x:v>
      </x:c>
      <x:c r="M122" s="98"/>
      <x:c r="N122" s="98"/>
      <x:c r="O122" s="102" t="str">
        <x:f>"112동 / 보·슬래브 철근배근"&amp;CHAR(10)&amp;IF('원자료·매핑'!U79=0,"미불출",IF('원자료·매핑'!U79=K122,"전량 불출(가상)","부분 불출 "&amp;TEXT('원자료·매핑'!U79,"#,##0")&amp;" / "&amp;TEXT(K122,"#,##0")&amp;" (가상)"))</x:f>
        <x:v>112동 / 보·슬래브 철근배근
미불출</x:v>
      </x:c>
    </x:row>
    <x:row r="123" ht="40" customHeight="1">
      <x:c r="A123" s="52"/>
      <x:c r="B123" s="45"/>
      <x:c r="C123" s="45"/>
      <x:c r="D123" s="93" t="n">
        <x:f>'원자료·매핑'!R21</x:f>
        <x:v>42</x:v>
      </x:c>
      <x:c r="E123" s="94" t="n">
        <x:f>'원자료·매핑'!O21</x:f>
        <x:v>3880</x:v>
      </x:c>
      <x:c r="F123" s="97"/>
      <x:c r="G123" s="94" t="str">
        <x:f>IF(COUNT(F111:F123)=0,"",SUM(F111:F123))</x:f>
      </x:c>
      <x:c r="H123" s="97"/>
      <x:c r="I123" s="98"/>
      <x:c r="J123" s="93"/>
      <x:c r="K123" s="94"/>
      <x:c r="L123" s="94" t="n">
        <x:f>IF(OR(E123="미산정",K123="미산정"),"미산정",IF(ISNUMBER(L122),L122+SUM(E123)-SUM(K123),"미산정"))</x:f>
        <x:v>3880</x:v>
      </x:c>
      <x:c r="M123" s="98"/>
      <x:c r="N123" s="98"/>
      <x:c r="O123" s="96" t="str">
        <x:f>"113동 / 벽체·기둥 철근배근"&amp;CHAR(10)&amp;IF(D123&lt;='원자료·매핑'!$B$15,"반입 완료(가상)","반입 예정")</x:f>
        <x:v>113동 / 벽체·기둥 철근배근
반입 예정</x:v>
      </x:c>
    </x:row>
    <x:row r="124" ht="40" customHeight="1">
      <x:c r="A124" s="52"/>
      <x:c r="B124" s="45"/>
      <x:c r="C124" s="45"/>
      <x:c r="D124" s="99"/>
      <x:c r="E124" s="100"/>
      <x:c r="F124" s="97"/>
      <x:c r="G124" s="100" t="str">
        <x:f>IF(COUNT(F111:F124)=0,"",SUM(F111:F124))</x:f>
      </x:c>
      <x:c r="H124" s="97"/>
      <x:c r="I124" s="98"/>
      <x:c r="J124" s="99" t="n">
        <x:f>'원자료·매핑'!I21</x:f>
        <x:v>43</x:v>
      </x:c>
      <x:c r="K124" s="100" t="n">
        <x:f>'원자료·매핑'!O21</x:f>
        <x:v>3880</x:v>
      </x:c>
      <x:c r="L124" s="100" t="n">
        <x:f>IF(OR(E124="미산정",K124="미산정"),"미산정",IF(ISNUMBER(L123),L123+SUM(E124)-SUM(K124),"미산정"))</x:f>
        <x:v>0</x:v>
      </x:c>
      <x:c r="M124" s="98"/>
      <x:c r="N124" s="98"/>
      <x:c r="O124" s="102" t="str">
        <x:f>"113동 / 벽체·기둥 철근배근"&amp;CHAR(10)&amp;IF('원자료·매핑'!U21=0,"미불출",IF('원자료·매핑'!U21=K124,"전량 불출(가상)","부분 불출 "&amp;TEXT('원자료·매핑'!U21,"#,##0")&amp;" / "&amp;TEXT(K124,"#,##0")&amp;" (가상)"))</x:f>
        <x:v>113동 / 벽체·기둥 철근배근
미불출</x:v>
      </x:c>
    </x:row>
    <x:row r="125" ht="40" customHeight="1">
      <x:c r="A125" s="52"/>
      <x:c r="B125" s="45"/>
      <x:c r="C125" s="45"/>
      <x:c r="D125" s="93" t="n">
        <x:f>'원자료·매핑'!R47</x:f>
        <x:v>61</x:v>
      </x:c>
      <x:c r="E125" s="94" t="n">
        <x:f>'원자료·매핑'!O47</x:f>
        <x:v>3780</x:v>
      </x:c>
      <x:c r="F125" s="97"/>
      <x:c r="G125" s="94" t="str">
        <x:f>IF(COUNT(F111:F125)=0,"",SUM(F111:F125))</x:f>
      </x:c>
      <x:c r="H125" s="97"/>
      <x:c r="I125" s="98"/>
      <x:c r="J125" s="93"/>
      <x:c r="K125" s="94"/>
      <x:c r="L125" s="94" t="n">
        <x:f>IF(OR(E125="미산정",K125="미산정"),"미산정",IF(ISNUMBER(L124),L124+SUM(E125)-SUM(K125),"미산정"))</x:f>
        <x:v>3780</x:v>
      </x:c>
      <x:c r="M125" s="98"/>
      <x:c r="N125" s="98"/>
      <x:c r="O125" s="96" t="str">
        <x:f>"113동 / 보·슬래브 철근배근"&amp;CHAR(10)&amp;IF(D125&lt;='원자료·매핑'!$B$15,"반입 완료(가상)","반입 예정")</x:f>
        <x:v>113동 / 보·슬래브 철근배근
반입 예정</x:v>
      </x:c>
    </x:row>
    <x:row r="126" ht="40" customHeight="1">
      <x:c r="A126" s="52"/>
      <x:c r="B126" s="45"/>
      <x:c r="C126" s="45"/>
      <x:c r="D126" s="99"/>
      <x:c r="E126" s="100"/>
      <x:c r="F126" s="97"/>
      <x:c r="G126" s="100" t="str">
        <x:f>IF(COUNT(F111:F126)=0,"",SUM(F111:F126))</x:f>
      </x:c>
      <x:c r="H126" s="97"/>
      <x:c r="I126" s="98"/>
      <x:c r="J126" s="99" t="n">
        <x:f>'원자료·매핑'!I47</x:f>
        <x:v>62</x:v>
      </x:c>
      <x:c r="K126" s="100" t="n">
        <x:f>'원자료·매핑'!O47</x:f>
        <x:v>3780</x:v>
      </x:c>
      <x:c r="L126" s="100" t="n">
        <x:f>IF(OR(E126="미산정",K126="미산정"),"미산정",IF(ISNUMBER(L125),L125+SUM(E126)-SUM(K126),"미산정"))</x:f>
        <x:v>0</x:v>
      </x:c>
      <x:c r="M126" s="98"/>
      <x:c r="N126" s="98"/>
      <x:c r="O126" s="102" t="str">
        <x:f>"113동 / 보·슬래브 철근배근"&amp;CHAR(10)&amp;IF('원자료·매핑'!U47=0,"미불출",IF('원자료·매핑'!U47=K126,"전량 불출(가상)","부분 불출 "&amp;TEXT('원자료·매핑'!U47,"#,##0")&amp;" / "&amp;TEXT(K126,"#,##0")&amp;" (가상)"))</x:f>
        <x:v>113동 / 보·슬래브 철근배근
미불출</x:v>
      </x:c>
    </x:row>
    <x:row r="127" ht="32" customHeight="1">
      <x:c r="A127" s="53" t="str">
        <x:v>합계 / 최종 계획잔량</x:v>
      </x:c>
      <x:c r="B127" s="49"/>
      <x:c r="C127" s="49"/>
      <x:c r="D127" s="63"/>
      <x:c r="E127" s="64" t="n">
        <x:f>IF(COUNTIFS(E111:E126,"미산정")&gt;0,"미산정",SUM(E111:E126))</x:f>
        <x:v>34720</x:v>
      </x:c>
      <x:c r="F127" s="64" t="str">
        <x:f>IF(COUNT(F111:F126)=0,"",SUM(F111:F126))</x:f>
      </x:c>
      <x:c r="G127" s="64" t="str">
        <x:f>G126</x:f>
      </x:c>
      <x:c r="H127" s="64" t="str">
        <x:f>IF(COUNT(H111:H126)=0,"",SUM(H111:H126))</x:f>
      </x:c>
      <x:c r="I127" s="63"/>
      <x:c r="J127" s="63"/>
      <x:c r="K127" s="64" t="n">
        <x:f>IF(COUNTIFS(K111:K126,"미산정")&gt;0,"미산정",SUM(K111:K126))</x:f>
        <x:v>34720</x:v>
      </x:c>
      <x:c r="L127" s="64" t="n">
        <x:f>L126</x:f>
        <x:v>0</x:v>
      </x:c>
      <x:c r="M127" s="63"/>
      <x:c r="N127" s="63"/>
      <x:c r="O127" s="49"/>
    </x:row>
    <x:row r="128" ht="26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 ht="26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 ht="34" customHeight="1">
      <x:c r="A130" s="38" t="str">
        <x:v>06. 주요자재 검사 및 수불부</x:v>
      </x:c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</x:row>
    <x:row r="131" ht="28" customHeight="1">
      <x:c r="A131" s="39" t="str">
        <x:v>품명: 철근 / D25</x:v>
      </x:c>
      <x:c r="B131" s="39"/>
      <x:c r="C131" s="39"/>
      <x:c r="D131" s="39"/>
      <x:c r="E131" s="39"/>
      <x:c r="F131" s="39"/>
      <x:c r="G131" s="39"/>
      <x:c r="H131" s="39"/>
      <x:c r="I131" s="39"/>
      <x:c r="J131" s="39" t="str">
        <x:v>단위: kg / SD500 / 길이 미제공</x:v>
      </x:c>
      <x:c r="K131" s="39"/>
      <x:c r="L131" s="39"/>
      <x:c r="M131" s="39"/>
      <x:c r="N131" s="39"/>
      <x:c r="O131" s="39"/>
    </x:row>
    <x:row r="132" ht="32" customHeight="1">
      <x:c r="A132" s="4" t="str">
        <x:v>반입·불출 수량은 전체 계획. O열에는 기준일 진행 상태를 구분. 사진에서 검사 합격·규격·수량을 확정하지 않음.</x:v>
      </x:c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</x:row>
    <x:row r="133" ht="30" customHeight="1">
      <x:c r="A133" s="92" t="str">
        <x:f>"기준 WD "&amp;'원자료·매핑'!$B$15&amp;"  기반입 "&amp;TEXT(SUMIFS('원자료·매핑'!$T$17:$T$144,'원자료·매핑'!$D$17:$D$144,"RB-D25"),"#,##0")&amp;" / 기불출 "&amp;TEXT(SUMIFS('원자료·매핑'!$U$17:$U$144,'원자료·매핑'!$D$17:$D$144,"RB-D25"),"#,##0")&amp;" / 현재 야적 "&amp;TEXT(SUMIFS('원자료·매핑'!$V$17:$V$144,'원자료·매핑'!$D$17:$D$144,"RB-D25"),"#,##0")&amp;" (가상)"</x:f>
        <x:v>기준 WD 10  기반입 16,320 / 기불출 10,562 / 현재 야적 5,758 (가상)</x:v>
      </x:c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</x:row>
    <x:row r="134" ht="27" customHeight="1">
      <x:c r="A134" s="44" t="str">
        <x:v>계획량
(가상)</x:v>
      </x:c>
      <x:c r="B134" s="44" t="str">
        <x:v>단위</x:v>
      </x:c>
      <x:c r="C134" s="44" t="str">
        <x:v>규격</x:v>
      </x:c>
      <x:c r="D134" s="44" t="str">
        <x:v>반입일
(적용 WD)</x:v>
      </x:c>
      <x:c r="E134" s="44" t="str">
        <x:v>반입량
(계획)</x:v>
      </x:c>
      <x:c r="F134" s="44" t="str">
        <x:v>합격량</x:v>
      </x:c>
      <x:c r="G134" s="44"/>
      <x:c r="H134" s="44" t="str">
        <x:v>불합격</x:v>
      </x:c>
      <x:c r="I134" s="44"/>
      <x:c r="J134" s="44" t="str">
        <x:v>출고일
(예정 WD)</x:v>
      </x:c>
      <x:c r="K134" s="44" t="str">
        <x:v>출고량
(계획)</x:v>
      </x:c>
      <x:c r="L134" s="44" t="str">
        <x:v>계획잔량</x:v>
      </x:c>
      <x:c r="M134" s="44" t="str">
        <x:v>검사자</x:v>
      </x:c>
      <x:c r="N134" s="44" t="str">
        <x:v>서명</x:v>
      </x:c>
      <x:c r="O134" s="44" t="str">
        <x:v>사용동 · 공정</x:v>
      </x:c>
    </x:row>
    <x:row r="135" ht="27" customHeight="1">
      <x:c r="A135" s="44"/>
      <x:c r="B135" s="44"/>
      <x:c r="C135" s="44"/>
      <x:c r="D135" s="44"/>
      <x:c r="E135" s="44"/>
      <x:c r="F135" s="44" t="str">
        <x:v>금회</x:v>
      </x:c>
      <x:c r="G135" s="44" t="str">
        <x:v>누계</x:v>
      </x:c>
      <x:c r="H135" s="44" t="str">
        <x:v>수량</x:v>
      </x:c>
      <x:c r="I135" s="44" t="str">
        <x:v>사유</x:v>
      </x:c>
      <x:c r="J135" s="44"/>
      <x:c r="K135" s="44"/>
      <x:c r="L135" s="44"/>
      <x:c r="M135" s="44"/>
      <x:c r="N135" s="44"/>
      <x:c r="O135" s="44"/>
    </x:row>
    <x:row r="136" ht="40" customHeight="1">
      <x:c r="A136" s="52" t="n">
        <x:f>IF(COUNTIFS('원자료·매핑'!$D$17:$D$144,"RB-D25",'원자료·매핑'!$O$17:$O$144,"미산정")&gt;0,"미산정",SUMIFS('원자료·매핑'!$O$17:$O$144,'원자료·매핑'!$D$17:$D$144,"RB-D25"))</x:f>
        <x:v>37690</x:v>
      </x:c>
      <x:c r="B136" s="45" t="str">
        <x:v>kg</x:v>
      </x:c>
      <x:c r="C136" s="45" t="str">
        <x:v>D25
SD500 D25 / 부위별 공장 가공
길이 미제공</x:v>
      </x:c>
      <x:c r="D136" s="93" t="n">
        <x:f>'원자료·매핑'!R86</x:f>
        <x:v>2</x:v>
      </x:c>
      <x:c r="E136" s="94" t="n">
        <x:f>'원자료·매핑'!O86</x:f>
        <x:v>6080</x:v>
      </x:c>
      <x:c r="F136" s="97"/>
      <x:c r="G136" s="94" t="str">
        <x:f>IF(COUNT(F136:F136)=0,"",SUM(F136:F136))</x:f>
      </x:c>
      <x:c r="H136" s="97"/>
      <x:c r="I136" s="98"/>
      <x:c r="J136" s="93"/>
      <x:c r="K136" s="94"/>
      <x:c r="L136" s="94" t="n">
        <x:f>IF(OR(E136="미산정",K136="미산정"),"미산정",IF(ISNUMBER('원자료·매핑'!$B$9),'원자료·매핑'!$B$9+SUM(E136)-SUM(K136),"미산정"))</x:f>
        <x:v>6080</x:v>
      </x:c>
      <x:c r="M136" s="98"/>
      <x:c r="N136" s="98"/>
      <x:c r="O136" s="96" t="str">
        <x:f>"104동 / 벽체·기둥 철근배근"&amp;CHAR(10)&amp;IF(D136&lt;='원자료·매핑'!$B$15,"반입 완료(가상)","반입 예정")</x:f>
        <x:v>104동 / 벽체·기둥 철근배근
반입 완료(가상)</x:v>
      </x:c>
    </x:row>
    <x:row r="137" ht="40" customHeight="1">
      <x:c r="A137" s="52"/>
      <x:c r="B137" s="45"/>
      <x:c r="C137" s="45"/>
      <x:c r="D137" s="99"/>
      <x:c r="E137" s="100"/>
      <x:c r="F137" s="97"/>
      <x:c r="G137" s="100" t="str">
        <x:f>IF(COUNT(F136:F137)=0,"",SUM(F136:F137))</x:f>
      </x:c>
      <x:c r="H137" s="97"/>
      <x:c r="I137" s="98"/>
      <x:c r="J137" s="99" t="n">
        <x:f>'원자료·매핑'!I86</x:f>
        <x:v>3</x:v>
      </x:c>
      <x:c r="K137" s="100" t="n">
        <x:f>'원자료·매핑'!O86</x:f>
        <x:v>6080</x:v>
      </x:c>
      <x:c r="L137" s="100" t="n">
        <x:f>IF(OR(E137="미산정",K137="미산정"),"미산정",IF(ISNUMBER(L136),L136+SUM(E137)-SUM(K137),"미산정"))</x:f>
        <x:v>0</x:v>
      </x:c>
      <x:c r="M137" s="98"/>
      <x:c r="N137" s="98"/>
      <x:c r="O137" s="102" t="str">
        <x:f>"104동 / 벽체·기둥 철근배근"&amp;CHAR(10)&amp;IF('원자료·매핑'!U86=0,"미불출",IF('원자료·매핑'!U86=K137,"전량 불출(가상)","부분 불출 "&amp;TEXT('원자료·매핑'!U86,"#,##0")&amp;" / "&amp;TEXT(K137,"#,##0")&amp;" (가상)"))</x:f>
        <x:v>104동 / 벽체·기둥 철근배근
전량 불출(가상)</x:v>
      </x:c>
    </x:row>
    <x:row r="138" ht="40" customHeight="1">
      <x:c r="A138" s="52"/>
      <x:c r="B138" s="45"/>
      <x:c r="C138" s="45"/>
      <x:c r="D138" s="93" t="n">
        <x:f>'원자료·매핑'!R118</x:f>
        <x:v>7</x:v>
      </x:c>
      <x:c r="E138" s="94" t="n">
        <x:f>'원자료·매핑'!O118</x:f>
        <x:v>7470</x:v>
      </x:c>
      <x:c r="F138" s="97"/>
      <x:c r="G138" s="94" t="str">
        <x:f>IF(COUNT(F136:F138)=0,"",SUM(F136:F138))</x:f>
      </x:c>
      <x:c r="H138" s="97"/>
      <x:c r="I138" s="98"/>
      <x:c r="J138" s="93"/>
      <x:c r="K138" s="94"/>
      <x:c r="L138" s="94" t="n">
        <x:f>IF(OR(E138="미산정",K138="미산정"),"미산정",IF(ISNUMBER(L137),L137+SUM(E138)-SUM(K138),"미산정"))</x:f>
        <x:v>7470</x:v>
      </x:c>
      <x:c r="M138" s="98"/>
      <x:c r="N138" s="98"/>
      <x:c r="O138" s="96" t="str">
        <x:f>"105동 / 벽체·기둥 철근배근"&amp;CHAR(10)&amp;IF(D138&lt;='원자료·매핑'!$B$15,"반입 완료(가상)","반입 예정")</x:f>
        <x:v>105동 / 벽체·기둥 철근배근
반입 완료(가상)</x:v>
      </x:c>
    </x:row>
    <x:row r="139" ht="40" customHeight="1">
      <x:c r="A139" s="52"/>
      <x:c r="B139" s="45"/>
      <x:c r="C139" s="45"/>
      <x:c r="D139" s="99"/>
      <x:c r="E139" s="100"/>
      <x:c r="F139" s="97"/>
      <x:c r="G139" s="100" t="str">
        <x:f>IF(COUNT(F136:F139)=0,"",SUM(F136:F139))</x:f>
      </x:c>
      <x:c r="H139" s="97"/>
      <x:c r="I139" s="98"/>
      <x:c r="J139" s="99" t="n">
        <x:f>'원자료·매핑'!I118</x:f>
        <x:v>8</x:v>
      </x:c>
      <x:c r="K139" s="100" t="n">
        <x:f>'원자료·매핑'!O118</x:f>
        <x:v>7470</x:v>
      </x:c>
      <x:c r="L139" s="100" t="n">
        <x:f>IF(OR(E139="미산정",K139="미산정"),"미산정",IF(ISNUMBER(L138),L138+SUM(E139)-SUM(K139),"미산정"))</x:f>
        <x:v>0</x:v>
      </x:c>
      <x:c r="M139" s="98"/>
      <x:c r="N139" s="98"/>
      <x:c r="O139" s="102" t="str">
        <x:f>"105동 / 벽체·기둥 철근배근"&amp;CHAR(10)&amp;IF('원자료·매핑'!U118=0,"미불출",IF('원자료·매핑'!U118=K139,"전량 불출(가상)","부분 불출 "&amp;TEXT('원자료·매핑'!U118,"#,##0")&amp;" / "&amp;TEXT(K139,"#,##0")&amp;" (가상)"))</x:f>
        <x:v>105동 / 벽체·기둥 철근배근
부분 불출 4,482 / 7,470 (가상)</x:v>
      </x:c>
    </x:row>
    <x:row r="140" ht="40" customHeight="1">
      <x:c r="A140" s="52"/>
      <x:c r="B140" s="45"/>
      <x:c r="C140" s="45"/>
      <x:c r="D140" s="93" t="n">
        <x:f>'원자료·매핑'!R112</x:f>
        <x:v>10</x:v>
      </x:c>
      <x:c r="E140" s="94" t="n">
        <x:f>'원자료·매핑'!O112</x:f>
        <x:v>2770</x:v>
      </x:c>
      <x:c r="F140" s="97"/>
      <x:c r="G140" s="94" t="str">
        <x:f>IF(COUNT(F136:F140)=0,"",SUM(F136:F140))</x:f>
      </x:c>
      <x:c r="H140" s="97"/>
      <x:c r="I140" s="98"/>
      <x:c r="J140" s="93"/>
      <x:c r="K140" s="94"/>
      <x:c r="L140" s="94" t="n">
        <x:f>IF(OR(E140="미산정",K140="미산정"),"미산정",IF(ISNUMBER(L139),L139+SUM(E140)-SUM(K140),"미산정"))</x:f>
        <x:v>2770</x:v>
      </x:c>
      <x:c r="M140" s="98"/>
      <x:c r="N140" s="98"/>
      <x:c r="O140" s="96" t="str">
        <x:f>"104동 / 보·슬래브 철근배근"&amp;CHAR(10)&amp;IF(D140&lt;='원자료·매핑'!$B$15,"반입 완료(가상)","반입 예정")</x:f>
        <x:v>104동 / 보·슬래브 철근배근
반입 완료(가상)</x:v>
      </x:c>
    </x:row>
    <x:row r="141" ht="40" customHeight="1">
      <x:c r="A141" s="52"/>
      <x:c r="B141" s="45"/>
      <x:c r="C141" s="45"/>
      <x:c r="D141" s="93" t="n">
        <x:f>'원자료·매핑'!R54</x:f>
        <x:v>17</x:v>
      </x:c>
      <x:c r="E141" s="94" t="n">
        <x:f>'원자료·매핑'!O54</x:f>
        <x:v>6780</x:v>
      </x:c>
      <x:c r="F141" s="97"/>
      <x:c r="G141" s="94" t="str">
        <x:f>IF(COUNT(F136:F141)=0,"",SUM(F136:F141))</x:f>
      </x:c>
      <x:c r="H141" s="97"/>
      <x:c r="I141" s="98"/>
      <x:c r="J141" s="93"/>
      <x:c r="K141" s="94"/>
      <x:c r="L141" s="94" t="n">
        <x:f>IF(OR(E141="미산정",K141="미산정"),"미산정",IF(ISNUMBER(L140),L140+SUM(E141)-SUM(K141),"미산정"))</x:f>
        <x:v>9550</x:v>
      </x:c>
      <x:c r="M141" s="98"/>
      <x:c r="N141" s="98"/>
      <x:c r="O141" s="96" t="str">
        <x:f>"112동 / 벽체·기둥 철근배근"&amp;CHAR(10)&amp;IF(D141&lt;='원자료·매핑'!$B$15,"반입 완료(가상)","반입 예정")</x:f>
        <x:v>112동 / 벽체·기둥 철근배근
반입 예정</x:v>
      </x:c>
    </x:row>
    <x:row r="142" ht="40" customHeight="1">
      <x:c r="A142" s="52"/>
      <x:c r="B142" s="45"/>
      <x:c r="C142" s="45"/>
      <x:c r="D142" s="99"/>
      <x:c r="E142" s="100"/>
      <x:c r="F142" s="97"/>
      <x:c r="G142" s="100" t="str">
        <x:f>IF(COUNT(F136:F142)=0,"",SUM(F136:F142))</x:f>
      </x:c>
      <x:c r="H142" s="97"/>
      <x:c r="I142" s="98"/>
      <x:c r="J142" s="99" t="n">
        <x:f>'원자료·매핑'!I54</x:f>
        <x:v>18</x:v>
      </x:c>
      <x:c r="K142" s="100" t="n">
        <x:f>'원자료·매핑'!O54</x:f>
        <x:v>6780</x:v>
      </x:c>
      <x:c r="L142" s="100" t="n">
        <x:f>IF(OR(E142="미산정",K142="미산정"),"미산정",IF(ISNUMBER(L141),L141+SUM(E142)-SUM(K142),"미산정"))</x:f>
        <x:v>2770</x:v>
      </x:c>
      <x:c r="M142" s="98"/>
      <x:c r="N142" s="98"/>
      <x:c r="O142" s="102" t="str">
        <x:f>"112동 / 벽체·기둥 철근배근"&amp;CHAR(10)&amp;IF('원자료·매핑'!U54=0,"미불출",IF('원자료·매핑'!U54=K142,"전량 불출(가상)","부분 불출 "&amp;TEXT('원자료·매핑'!U54,"#,##0")&amp;" / "&amp;TEXT(K142,"#,##0")&amp;" (가상)"))</x:f>
        <x:v>112동 / 벽체·기둥 철근배근
미불출</x:v>
      </x:c>
    </x:row>
    <x:row r="143" ht="40" customHeight="1">
      <x:c r="A143" s="52"/>
      <x:c r="B143" s="45"/>
      <x:c r="C143" s="45"/>
      <x:c r="D143" s="99"/>
      <x:c r="E143" s="100"/>
      <x:c r="F143" s="97"/>
      <x:c r="G143" s="100" t="str">
        <x:f>IF(COUNT(F136:F143)=0,"",SUM(F136:F143))</x:f>
      </x:c>
      <x:c r="H143" s="97"/>
      <x:c r="I143" s="98"/>
      <x:c r="J143" s="99" t="n">
        <x:f>'원자료·매핑'!I112</x:f>
        <x:v>22</x:v>
      </x:c>
      <x:c r="K143" s="100" t="n">
        <x:f>'원자료·매핑'!O112</x:f>
        <x:v>2770</x:v>
      </x:c>
      <x:c r="L143" s="100" t="n">
        <x:f>IF(OR(E143="미산정",K143="미산정"),"미산정",IF(ISNUMBER(L142),L142+SUM(E143)-SUM(K143),"미산정"))</x:f>
        <x:v>0</x:v>
      </x:c>
      <x:c r="M143" s="98"/>
      <x:c r="N143" s="98"/>
      <x:c r="O143" s="102" t="str">
        <x:f>"104동 / 보·슬래브 철근배근"&amp;CHAR(10)&amp;IF('원자료·매핑'!U112=0,"미불출",IF('원자료·매핑'!U112=K143,"전량 불출(가상)","부분 불출 "&amp;TEXT('원자료·매핑'!U112,"#,##0")&amp;" / "&amp;TEXT(K143,"#,##0")&amp;" (가상)"))</x:f>
        <x:v>104동 / 보·슬래브 철근배근
미불출</x:v>
      </x:c>
    </x:row>
    <x:row r="144" ht="40" customHeight="1">
      <x:c r="A144" s="52"/>
      <x:c r="B144" s="45"/>
      <x:c r="C144" s="45"/>
      <x:c r="D144" s="93" t="n">
        <x:f>'원자료·매핑'!R144</x:f>
        <x:v>26</x:v>
      </x:c>
      <x:c r="E144" s="94" t="n">
        <x:f>'원자료·매핑'!O144</x:f>
        <x:v>3250</x:v>
      </x:c>
      <x:c r="F144" s="97"/>
      <x:c r="G144" s="94" t="str">
        <x:f>IF(COUNT(F136:F144)=0,"",SUM(F136:F144))</x:f>
      </x:c>
      <x:c r="H144" s="97"/>
      <x:c r="I144" s="98"/>
      <x:c r="J144" s="93"/>
      <x:c r="K144" s="94"/>
      <x:c r="L144" s="94" t="n">
        <x:f>IF(OR(E144="미산정",K144="미산정"),"미산정",IF(ISNUMBER(L143),L143+SUM(E144)-SUM(K144),"미산정"))</x:f>
        <x:v>3250</x:v>
      </x:c>
      <x:c r="M144" s="98"/>
      <x:c r="N144" s="98"/>
      <x:c r="O144" s="96" t="str">
        <x:f>"105동 / 보·슬래브 철근배근"&amp;CHAR(10)&amp;IF(D144&lt;='원자료·매핑'!$B$15,"반입 완료(가상)","반입 예정")</x:f>
        <x:v>105동 / 보·슬래브 철근배근
반입 예정</x:v>
      </x:c>
    </x:row>
    <x:row r="145" ht="40" customHeight="1">
      <x:c r="A145" s="52"/>
      <x:c r="B145" s="45"/>
      <x:c r="C145" s="45"/>
      <x:c r="D145" s="99"/>
      <x:c r="E145" s="100"/>
      <x:c r="F145" s="97"/>
      <x:c r="G145" s="100" t="str">
        <x:f>IF(COUNT(F136:F145)=0,"",SUM(F136:F145))</x:f>
      </x:c>
      <x:c r="H145" s="97"/>
      <x:c r="I145" s="98"/>
      <x:c r="J145" s="99" t="n">
        <x:f>'원자료·매핑'!I144</x:f>
        <x:v>27</x:v>
      </x:c>
      <x:c r="K145" s="100" t="n">
        <x:f>'원자료·매핑'!O144</x:f>
        <x:v>3250</x:v>
      </x:c>
      <x:c r="L145" s="100" t="n">
        <x:f>IF(OR(E145="미산정",K145="미산정"),"미산정",IF(ISNUMBER(L144),L144+SUM(E145)-SUM(K145),"미산정"))</x:f>
        <x:v>0</x:v>
      </x:c>
      <x:c r="M145" s="98"/>
      <x:c r="N145" s="98"/>
      <x:c r="O145" s="102" t="str">
        <x:f>"105동 / 보·슬래브 철근배근"&amp;CHAR(10)&amp;IF('원자료·매핑'!U144=0,"미불출",IF('원자료·매핑'!U144=K145,"전량 불출(가상)","부분 불출 "&amp;TEXT('원자료·매핑'!U144,"#,##0")&amp;" / "&amp;TEXT(K145,"#,##0")&amp;" (가상)"))</x:f>
        <x:v>105동 / 보·슬래브 철근배근
미불출</x:v>
      </x:c>
    </x:row>
    <x:row r="146" ht="40" customHeight="1">
      <x:c r="A146" s="52"/>
      <x:c r="B146" s="45"/>
      <x:c r="C146" s="45"/>
      <x:c r="D146" s="93" t="n">
        <x:f>'원자료·매핑'!R80</x:f>
        <x:v>36</x:v>
      </x:c>
      <x:c r="E146" s="94" t="n">
        <x:f>'원자료·매핑'!O80</x:f>
        <x:v>3010</x:v>
      </x:c>
      <x:c r="F146" s="97"/>
      <x:c r="G146" s="94" t="str">
        <x:f>IF(COUNT(F136:F146)=0,"",SUM(F136:F146))</x:f>
      </x:c>
      <x:c r="H146" s="97"/>
      <x:c r="I146" s="98"/>
      <x:c r="J146" s="93"/>
      <x:c r="K146" s="94"/>
      <x:c r="L146" s="94" t="n">
        <x:f>IF(OR(E146="미산정",K146="미산정"),"미산정",IF(ISNUMBER(L145),L145+SUM(E146)-SUM(K146),"미산정"))</x:f>
        <x:v>3010</x:v>
      </x:c>
      <x:c r="M146" s="98"/>
      <x:c r="N146" s="98"/>
      <x:c r="O146" s="96" t="str">
        <x:f>"112동 / 보·슬래브 철근배근"&amp;CHAR(10)&amp;IF(D146&lt;='원자료·매핑'!$B$15,"반입 완료(가상)","반입 예정")</x:f>
        <x:v>112동 / 보·슬래브 철근배근
반입 예정</x:v>
      </x:c>
    </x:row>
    <x:row r="147" ht="40" customHeight="1">
      <x:c r="A147" s="52"/>
      <x:c r="B147" s="45"/>
      <x:c r="C147" s="45"/>
      <x:c r="D147" s="99"/>
      <x:c r="E147" s="100"/>
      <x:c r="F147" s="97"/>
      <x:c r="G147" s="100" t="str">
        <x:f>IF(COUNT(F136:F147)=0,"",SUM(F136:F147))</x:f>
      </x:c>
      <x:c r="H147" s="97"/>
      <x:c r="I147" s="98"/>
      <x:c r="J147" s="99" t="n">
        <x:f>'원자료·매핑'!I80</x:f>
        <x:v>37</x:v>
      </x:c>
      <x:c r="K147" s="100" t="n">
        <x:f>'원자료·매핑'!O80</x:f>
        <x:v>3010</x:v>
      </x:c>
      <x:c r="L147" s="100" t="n">
        <x:f>IF(OR(E147="미산정",K147="미산정"),"미산정",IF(ISNUMBER(L146),L146+SUM(E147)-SUM(K147),"미산정"))</x:f>
        <x:v>0</x:v>
      </x:c>
      <x:c r="M147" s="98"/>
      <x:c r="N147" s="98"/>
      <x:c r="O147" s="102" t="str">
        <x:f>"112동 / 보·슬래브 철근배근"&amp;CHAR(10)&amp;IF('원자료·매핑'!U80=0,"미불출",IF('원자료·매핑'!U80=K147,"전량 불출(가상)","부분 불출 "&amp;TEXT('원자료·매핑'!U80,"#,##0")&amp;" / "&amp;TEXT(K147,"#,##0")&amp;" (가상)"))</x:f>
        <x:v>112동 / 보·슬래브 철근배근
미불출</x:v>
      </x:c>
    </x:row>
    <x:row r="148" ht="40" customHeight="1">
      <x:c r="A148" s="52"/>
      <x:c r="B148" s="45"/>
      <x:c r="C148" s="45"/>
      <x:c r="D148" s="93" t="n">
        <x:f>'원자료·매핑'!R22</x:f>
        <x:v>42</x:v>
      </x:c>
      <x:c r="E148" s="94" t="n">
        <x:f>'원자료·매핑'!O22</x:f>
        <x:v>5810</x:v>
      </x:c>
      <x:c r="F148" s="97"/>
      <x:c r="G148" s="94" t="str">
        <x:f>IF(COUNT(F136:F148)=0,"",SUM(F136:F148))</x:f>
      </x:c>
      <x:c r="H148" s="97"/>
      <x:c r="I148" s="98"/>
      <x:c r="J148" s="93"/>
      <x:c r="K148" s="94"/>
      <x:c r="L148" s="94" t="n">
        <x:f>IF(OR(E148="미산정",K148="미산정"),"미산정",IF(ISNUMBER(L147),L147+SUM(E148)-SUM(K148),"미산정"))</x:f>
        <x:v>5810</x:v>
      </x:c>
      <x:c r="M148" s="98"/>
      <x:c r="N148" s="98"/>
      <x:c r="O148" s="96" t="str">
        <x:f>"113동 / 벽체·기둥 철근배근"&amp;CHAR(10)&amp;IF(D148&lt;='원자료·매핑'!$B$15,"반입 완료(가상)","반입 예정")</x:f>
        <x:v>113동 / 벽체·기둥 철근배근
반입 예정</x:v>
      </x:c>
    </x:row>
    <x:row r="149" ht="40" customHeight="1">
      <x:c r="A149" s="52"/>
      <x:c r="B149" s="45"/>
      <x:c r="C149" s="45"/>
      <x:c r="D149" s="99"/>
      <x:c r="E149" s="100"/>
      <x:c r="F149" s="97"/>
      <x:c r="G149" s="100" t="str">
        <x:f>IF(COUNT(F136:F149)=0,"",SUM(F136:F149))</x:f>
      </x:c>
      <x:c r="H149" s="97"/>
      <x:c r="I149" s="98"/>
      <x:c r="J149" s="99" t="n">
        <x:f>'원자료·매핑'!I22</x:f>
        <x:v>43</x:v>
      </x:c>
      <x:c r="K149" s="100" t="n">
        <x:f>'원자료·매핑'!O22</x:f>
        <x:v>5810</x:v>
      </x:c>
      <x:c r="L149" s="100" t="n">
        <x:f>IF(OR(E149="미산정",K149="미산정"),"미산정",IF(ISNUMBER(L148),L148+SUM(E149)-SUM(K149),"미산정"))</x:f>
        <x:v>0</x:v>
      </x:c>
      <x:c r="M149" s="98"/>
      <x:c r="N149" s="98"/>
      <x:c r="O149" s="102" t="str">
        <x:f>"113동 / 벽체·기둥 철근배근"&amp;CHAR(10)&amp;IF('원자료·매핑'!U22=0,"미불출",IF('원자료·매핑'!U22=K149,"전량 불출(가상)","부분 불출 "&amp;TEXT('원자료·매핑'!U22,"#,##0")&amp;" / "&amp;TEXT(K149,"#,##0")&amp;" (가상)"))</x:f>
        <x:v>113동 / 벽체·기둥 철근배근
미불출</x:v>
      </x:c>
    </x:row>
    <x:row r="150" ht="40" customHeight="1">
      <x:c r="A150" s="52"/>
      <x:c r="B150" s="45"/>
      <x:c r="C150" s="45"/>
      <x:c r="D150" s="93" t="n">
        <x:f>'원자료·매핑'!R48</x:f>
        <x:v>61</x:v>
      </x:c>
      <x:c r="E150" s="94" t="n">
        <x:f>'원자료·매핑'!O48</x:f>
        <x:v>2520</x:v>
      </x:c>
      <x:c r="F150" s="97"/>
      <x:c r="G150" s="94" t="str">
        <x:f>IF(COUNT(F136:F150)=0,"",SUM(F136:F150))</x:f>
      </x:c>
      <x:c r="H150" s="97"/>
      <x:c r="I150" s="98"/>
      <x:c r="J150" s="93"/>
      <x:c r="K150" s="94"/>
      <x:c r="L150" s="94" t="n">
        <x:f>IF(OR(E150="미산정",K150="미산정"),"미산정",IF(ISNUMBER(L149),L149+SUM(E150)-SUM(K150),"미산정"))</x:f>
        <x:v>2520</x:v>
      </x:c>
      <x:c r="M150" s="98"/>
      <x:c r="N150" s="98"/>
      <x:c r="O150" s="96" t="str">
        <x:f>"113동 / 보·슬래브 철근배근"&amp;CHAR(10)&amp;IF(D150&lt;='원자료·매핑'!$B$15,"반입 완료(가상)","반입 예정")</x:f>
        <x:v>113동 / 보·슬래브 철근배근
반입 예정</x:v>
      </x:c>
    </x:row>
    <x:row r="151" ht="40" customHeight="1">
      <x:c r="A151" s="52"/>
      <x:c r="B151" s="45"/>
      <x:c r="C151" s="45"/>
      <x:c r="D151" s="99"/>
      <x:c r="E151" s="100"/>
      <x:c r="F151" s="97"/>
      <x:c r="G151" s="100" t="str">
        <x:f>IF(COUNT(F136:F151)=0,"",SUM(F136:F151))</x:f>
      </x:c>
      <x:c r="H151" s="97"/>
      <x:c r="I151" s="98"/>
      <x:c r="J151" s="99" t="n">
        <x:f>'원자료·매핑'!I48</x:f>
        <x:v>62</x:v>
      </x:c>
      <x:c r="K151" s="100" t="n">
        <x:f>'원자료·매핑'!O48</x:f>
        <x:v>2520</x:v>
      </x:c>
      <x:c r="L151" s="100" t="n">
        <x:f>IF(OR(E151="미산정",K151="미산정"),"미산정",IF(ISNUMBER(L150),L150+SUM(E151)-SUM(K151),"미산정"))</x:f>
        <x:v>0</x:v>
      </x:c>
      <x:c r="M151" s="98"/>
      <x:c r="N151" s="98"/>
      <x:c r="O151" s="102" t="str">
        <x:f>"113동 / 보·슬래브 철근배근"&amp;CHAR(10)&amp;IF('원자료·매핑'!U48=0,"미불출",IF('원자료·매핑'!U48=K151,"전량 불출(가상)","부분 불출 "&amp;TEXT('원자료·매핑'!U48,"#,##0")&amp;" / "&amp;TEXT(K151,"#,##0")&amp;" (가상)"))</x:f>
        <x:v>113동 / 보·슬래브 철근배근
미불출</x:v>
      </x:c>
    </x:row>
    <x:row r="152" ht="32" customHeight="1">
      <x:c r="A152" s="53" t="str">
        <x:v>합계 / 최종 계획잔량</x:v>
      </x:c>
      <x:c r="B152" s="49"/>
      <x:c r="C152" s="49"/>
      <x:c r="D152" s="63"/>
      <x:c r="E152" s="64" t="n">
        <x:f>IF(COUNTIFS(E136:E151,"미산정")&gt;0,"미산정",SUM(E136:E151))</x:f>
        <x:v>37690</x:v>
      </x:c>
      <x:c r="F152" s="64" t="str">
        <x:f>IF(COUNT(F136:F151)=0,"",SUM(F136:F151))</x:f>
      </x:c>
      <x:c r="G152" s="64" t="str">
        <x:f>G151</x:f>
      </x:c>
      <x:c r="H152" s="64" t="str">
        <x:f>IF(COUNT(H136:H151)=0,"",SUM(H136:H151))</x:f>
      </x:c>
      <x:c r="I152" s="63"/>
      <x:c r="J152" s="63"/>
      <x:c r="K152" s="64" t="n">
        <x:f>IF(COUNTIFS(K136:K151,"미산정")&gt;0,"미산정",SUM(K136:K151))</x:f>
        <x:v>37690</x:v>
      </x:c>
      <x:c r="L152" s="64" t="n">
        <x:f>L151</x:f>
        <x:v>0</x:v>
      </x:c>
      <x:c r="M152" s="63"/>
      <x:c r="N152" s="63"/>
      <x:c r="O152" s="49"/>
    </x:row>
    <x:row r="153" ht="26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</x:row>
    <x:row r="154" ht="26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</x:row>
    <x:row r="155" ht="34" customHeight="1">
      <x:c r="A155" s="38" t="str">
        <x:v>07. 주요자재 검사 및 수불부</x:v>
      </x:c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</x:row>
    <x:row r="156" ht="28" customHeight="1">
      <x:c r="A156" s="39" t="str">
        <x:v>품명: 유로폼 / 500x1200</x:v>
      </x:c>
      <x:c r="B156" s="39"/>
      <x:c r="C156" s="39"/>
      <x:c r="D156" s="39"/>
      <x:c r="E156" s="39"/>
      <x:c r="F156" s="39"/>
      <x:c r="G156" s="39"/>
      <x:c r="H156" s="39"/>
      <x:c r="I156" s="39"/>
      <x:c r="J156" s="39" t="str">
        <x:v>단위: 장</x:v>
      </x:c>
      <x:c r="K156" s="39"/>
      <x:c r="L156" s="39"/>
      <x:c r="M156" s="39"/>
      <x:c r="N156" s="39"/>
      <x:c r="O156" s="39"/>
    </x:row>
    <x:row r="157" ht="32" customHeight="1">
      <x:c r="A157" s="4" t="str">
        <x:v>반입·불출 수량은 전체 계획. O열에는 기준일 진행 상태를 구분. 사진에서 검사 합격·규격·수량을 확정하지 않음.</x:v>
      </x:c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</x:row>
    <x:row r="158" ht="30" customHeight="1">
      <x:c r="A158" s="92" t="str">
        <x:f>"기준 WD "&amp;'원자료·매핑'!$B$15&amp;"  기반입 "&amp;TEXT(SUMIFS('원자료·매핑'!$T$17:$T$144,'원자료·매핑'!$D$17:$D$144,"EF-5012"),"#,##0")&amp;" / 기불출 "&amp;TEXT(SUMIFS('원자료·매핑'!$U$17:$U$144,'원자료·매핑'!$D$17:$D$144,"EF-5012"),"#,##0")&amp;" / 현재 야적 "&amp;TEXT(SUMIFS('원자료·매핑'!$V$17:$V$144,'원자료·매핑'!$D$17:$D$144,"EF-5012"),"#,##0")&amp;" (가상)"</x:f>
        <x:v>기준 WD 10  기반입 1,821 / 기불출 352 / 현재 야적 1,469 (가상)</x:v>
      </x:c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</x:row>
    <x:row r="159" ht="27" customHeight="1">
      <x:c r="A159" s="44" t="str">
        <x:v>계획량
(가상)</x:v>
      </x:c>
      <x:c r="B159" s="44" t="str">
        <x:v>단위</x:v>
      </x:c>
      <x:c r="C159" s="44" t="str">
        <x:v>규격</x:v>
      </x:c>
      <x:c r="D159" s="44" t="str">
        <x:v>반입일
(적용 WD)</x:v>
      </x:c>
      <x:c r="E159" s="44" t="str">
        <x:v>반입량
(계획)</x:v>
      </x:c>
      <x:c r="F159" s="44" t="str">
        <x:v>합격량</x:v>
      </x:c>
      <x:c r="G159" s="44"/>
      <x:c r="H159" s="44" t="str">
        <x:v>불합격</x:v>
      </x:c>
      <x:c r="I159" s="44"/>
      <x:c r="J159" s="44" t="str">
        <x:v>출고일
(예정 WD)</x:v>
      </x:c>
      <x:c r="K159" s="44" t="str">
        <x:v>출고량
(계획)</x:v>
      </x:c>
      <x:c r="L159" s="44" t="str">
        <x:v>계획잔량</x:v>
      </x:c>
      <x:c r="M159" s="44" t="str">
        <x:v>검사자</x:v>
      </x:c>
      <x:c r="N159" s="44" t="str">
        <x:v>서명</x:v>
      </x:c>
      <x:c r="O159" s="44" t="str">
        <x:v>사용동 · 공정</x:v>
      </x:c>
    </x:row>
    <x:row r="160" ht="27" customHeight="1">
      <x:c r="A160" s="44"/>
      <x:c r="B160" s="44"/>
      <x:c r="C160" s="44"/>
      <x:c r="D160" s="44"/>
      <x:c r="E160" s="44"/>
      <x:c r="F160" s="44" t="str">
        <x:v>금회</x:v>
      </x:c>
      <x:c r="G160" s="44" t="str">
        <x:v>누계</x:v>
      </x:c>
      <x:c r="H160" s="44" t="str">
        <x:v>수량</x:v>
      </x:c>
      <x:c r="I160" s="44" t="str">
        <x:v>사유</x:v>
      </x:c>
      <x:c r="J160" s="44"/>
      <x:c r="K160" s="44"/>
      <x:c r="L160" s="44"/>
      <x:c r="M160" s="44"/>
      <x:c r="N160" s="44"/>
      <x:c r="O160" s="44"/>
    </x:row>
    <x:row r="161" ht="40" customHeight="1">
      <x:c r="A161" s="52" t="n">
        <x:f>IF(COUNTIFS('원자료·매핑'!$D$17:$D$144,"EF-5012",'원자료·매핑'!$O$17:$O$144,"미산정")&gt;0,"미산정",SUMIFS('원자료·매핑'!$O$17:$O$144,'원자료·매핑'!$D$17:$D$144,"EF-5012"))</x:f>
        <x:v>3497</x:v>
      </x:c>
      <x:c r="B161" s="45" t="str">
        <x:v>장</x:v>
      </x:c>
      <x:c r="C161" s="45" t="str">
        <x:v>500x1200
500×1,200mm</x:v>
      </x:c>
      <x:c r="D161" s="93" t="n">
        <x:f>'원자료·매핑'!R87</x:f>
        <x:v>7</x:v>
      </x:c>
      <x:c r="E161" s="94" t="n">
        <x:f>'원자료·매핑'!O87</x:f>
        <x:v>822</x:v>
      </x:c>
      <x:c r="F161" s="97"/>
      <x:c r="G161" s="94" t="str">
        <x:f>IF(COUNT(F161:F161)=0,"",SUM(F161:F161))</x:f>
      </x:c>
      <x:c r="H161" s="97"/>
      <x:c r="I161" s="98"/>
      <x:c r="J161" s="93"/>
      <x:c r="K161" s="94"/>
      <x:c r="L161" s="94" t="n">
        <x:f>IF(OR(E161="미산정",K161="미산정"),"미산정",IF(ISNUMBER('원자료·매핑'!$B$9),'원자료·매핑'!$B$9+SUM(E161)-SUM(K161),"미산정"))</x:f>
        <x:v>822</x:v>
      </x:c>
      <x:c r="M161" s="98"/>
      <x:c r="N161" s="98"/>
      <x:c r="O161" s="96" t="str">
        <x:f>"104동 / 수직부 거푸집 설치"&amp;CHAR(10)&amp;IF(D161&lt;='원자료·매핑'!$B$15,"반입 완료(가상)","반입 예정")</x:f>
        <x:v>104동 / 수직부 거푸집 설치
반입 완료(가상)</x:v>
      </x:c>
    </x:row>
    <x:row r="162" ht="40" customHeight="1">
      <x:c r="A162" s="52"/>
      <x:c r="B162" s="45"/>
      <x:c r="C162" s="45"/>
      <x:c r="D162" s="99"/>
      <x:c r="E162" s="100"/>
      <x:c r="F162" s="97"/>
      <x:c r="G162" s="100" t="str">
        <x:f>IF(COUNT(F161:F162)=0,"",SUM(F161:F162))</x:f>
      </x:c>
      <x:c r="H162" s="97"/>
      <x:c r="I162" s="98"/>
      <x:c r="J162" s="99" t="n">
        <x:f>'원자료·매핑'!I87</x:f>
        <x:v>8</x:v>
      </x:c>
      <x:c r="K162" s="100" t="n">
        <x:f>'원자료·매핑'!O87</x:f>
        <x:v>822</x:v>
      </x:c>
      <x:c r="L162" s="100" t="n">
        <x:f>IF(OR(E162="미산정",K162="미산정"),"미산정",IF(ISNUMBER(L161),L161+SUM(E162)-SUM(K162),"미산정"))</x:f>
        <x:v>0</x:v>
      </x:c>
      <x:c r="M162" s="98"/>
      <x:c r="N162" s="98"/>
      <x:c r="O162" s="102" t="str">
        <x:f>"104동 / 수직부 거푸집 설치"&amp;CHAR(10)&amp;IF('원자료·매핑'!U87=0,"미불출",IF('원자료·매핑'!U87=K162,"전량 불출(가상)","부분 불출 "&amp;TEXT('원자료·매핑'!U87,"#,##0")&amp;" / "&amp;TEXT(K162,"#,##0")&amp;" (가상)"))</x:f>
        <x:v>104동 / 수직부 거푸집 설치
부분 불출 352 / 822 (가상)</x:v>
      </x:c>
    </x:row>
    <x:row r="163" ht="40" customHeight="1">
      <x:c r="A163" s="52"/>
      <x:c r="B163" s="45"/>
      <x:c r="C163" s="45"/>
      <x:c r="D163" s="93" t="n">
        <x:f>'원자료·매핑'!R119</x:f>
        <x:v>10</x:v>
      </x:c>
      <x:c r="E163" s="94" t="n">
        <x:f>'원자료·매핑'!O119</x:f>
        <x:v>999</x:v>
      </x:c>
      <x:c r="F163" s="97"/>
      <x:c r="G163" s="94" t="str">
        <x:f>IF(COUNT(F161:F163)=0,"",SUM(F161:F163))</x:f>
      </x:c>
      <x:c r="H163" s="97"/>
      <x:c r="I163" s="98"/>
      <x:c r="J163" s="93"/>
      <x:c r="K163" s="94"/>
      <x:c r="L163" s="94" t="n">
        <x:f>IF(OR(E163="미산정",K163="미산정"),"미산정",IF(ISNUMBER(L162),L162+SUM(E163)-SUM(K163),"미산정"))</x:f>
        <x:v>999</x:v>
      </x:c>
      <x:c r="M163" s="98"/>
      <x:c r="N163" s="98"/>
      <x:c r="O163" s="96" t="str">
        <x:f>"105동 / 수직부 거푸집 설치"&amp;CHAR(10)&amp;IF(D163&lt;='원자료·매핑'!$B$15,"반입 완료(가상)","반입 예정")</x:f>
        <x:v>105동 / 수직부 거푸집 설치
반입 완료(가상)</x:v>
      </x:c>
    </x:row>
    <x:row r="164" ht="40" customHeight="1">
      <x:c r="A164" s="52"/>
      <x:c r="B164" s="45"/>
      <x:c r="C164" s="45"/>
      <x:c r="D164" s="99"/>
      <x:c r="E164" s="100"/>
      <x:c r="F164" s="97"/>
      <x:c r="G164" s="100" t="str">
        <x:f>IF(COUNT(F161:F164)=0,"",SUM(F161:F164))</x:f>
      </x:c>
      <x:c r="H164" s="97"/>
      <x:c r="I164" s="98"/>
      <x:c r="J164" s="99" t="n">
        <x:f>'원자료·매핑'!I119</x:f>
        <x:v>13</x:v>
      </x:c>
      <x:c r="K164" s="100" t="n">
        <x:f>'원자료·매핑'!O119</x:f>
        <x:v>999</x:v>
      </x:c>
      <x:c r="L164" s="100" t="n">
        <x:f>IF(OR(E164="미산정",K164="미산정"),"미산정",IF(ISNUMBER(L163),L163+SUM(E164)-SUM(K164),"미산정"))</x:f>
        <x:v>0</x:v>
      </x:c>
      <x:c r="M164" s="98"/>
      <x:c r="N164" s="98"/>
      <x:c r="O164" s="102" t="str">
        <x:f>"105동 / 수직부 거푸집 설치"&amp;CHAR(10)&amp;IF('원자료·매핑'!U119=0,"미불출",IF('원자료·매핑'!U119=K164,"전량 불출(가상)","부분 불출 "&amp;TEXT('원자료·매핑'!U119,"#,##0")&amp;" / "&amp;TEXT(K164,"#,##0")&amp;" (가상)"))</x:f>
        <x:v>105동 / 수직부 거푸집 설치
미불출</x:v>
      </x:c>
    </x:row>
    <x:row r="165" ht="40" customHeight="1">
      <x:c r="A165" s="52"/>
      <x:c r="B165" s="45"/>
      <x:c r="C165" s="45"/>
      <x:c r="D165" s="93" t="n">
        <x:f>'원자료·매핑'!R55</x:f>
        <x:v>22</x:v>
      </x:c>
      <x:c r="E165" s="94" t="n">
        <x:f>'원자료·매핑'!O55</x:f>
        <x:v>911</x:v>
      </x:c>
      <x:c r="F165" s="97"/>
      <x:c r="G165" s="94" t="str">
        <x:f>IF(COUNT(F161:F165)=0,"",SUM(F161:F165))</x:f>
      </x:c>
      <x:c r="H165" s="97"/>
      <x:c r="I165" s="98"/>
      <x:c r="J165" s="93"/>
      <x:c r="K165" s="94"/>
      <x:c r="L165" s="94" t="n">
        <x:f>IF(OR(E165="미산정",K165="미산정"),"미산정",IF(ISNUMBER(L164),L164+SUM(E165)-SUM(K165),"미산정"))</x:f>
        <x:v>911</x:v>
      </x:c>
      <x:c r="M165" s="98"/>
      <x:c r="N165" s="98"/>
      <x:c r="O165" s="96" t="str">
        <x:f>"112동 / 수직부 거푸집 설치"&amp;CHAR(10)&amp;IF(D165&lt;='원자료·매핑'!$B$15,"반입 완료(가상)","반입 예정")</x:f>
        <x:v>112동 / 수직부 거푸집 설치
반입 예정</x:v>
      </x:c>
    </x:row>
    <x:row r="166" ht="40" customHeight="1">
      <x:c r="A166" s="52"/>
      <x:c r="B166" s="45"/>
      <x:c r="C166" s="45"/>
      <x:c r="D166" s="99"/>
      <x:c r="E166" s="100"/>
      <x:c r="F166" s="97"/>
      <x:c r="G166" s="100" t="str">
        <x:f>IF(COUNT(F161:F166)=0,"",SUM(F161:F166))</x:f>
      </x:c>
      <x:c r="H166" s="97"/>
      <x:c r="I166" s="98"/>
      <x:c r="J166" s="99" t="n">
        <x:f>'원자료·매핑'!I55</x:f>
        <x:v>23</x:v>
      </x:c>
      <x:c r="K166" s="100" t="n">
        <x:f>'원자료·매핑'!O55</x:f>
        <x:v>911</x:v>
      </x:c>
      <x:c r="L166" s="100" t="n">
        <x:f>IF(OR(E166="미산정",K166="미산정"),"미산정",IF(ISNUMBER(L165),L165+SUM(E166)-SUM(K166),"미산정"))</x:f>
        <x:v>0</x:v>
      </x:c>
      <x:c r="M166" s="98"/>
      <x:c r="N166" s="98"/>
      <x:c r="O166" s="102" t="str">
        <x:f>"112동 / 수직부 거푸집 설치"&amp;CHAR(10)&amp;IF('원자료·매핑'!U55=0,"미불출",IF('원자료·매핑'!U55=K166,"전량 불출(가상)","부분 불출 "&amp;TEXT('원자료·매핑'!U55,"#,##0")&amp;" / "&amp;TEXT(K166,"#,##0")&amp;" (가상)"))</x:f>
        <x:v>112동 / 수직부 거푸집 설치
미불출</x:v>
      </x:c>
    </x:row>
    <x:row r="167" ht="40" customHeight="1">
      <x:c r="A167" s="52"/>
      <x:c r="B167" s="45"/>
      <x:c r="C167" s="45"/>
      <x:c r="D167" s="93" t="n">
        <x:f>'원자료·매핑'!R23</x:f>
        <x:v>47</x:v>
      </x:c>
      <x:c r="E167" s="94" t="n">
        <x:f>'원자료·매핑'!O23</x:f>
        <x:v>765</x:v>
      </x:c>
      <x:c r="F167" s="97"/>
      <x:c r="G167" s="94" t="str">
        <x:f>IF(COUNT(F161:F167)=0,"",SUM(F161:F167))</x:f>
      </x:c>
      <x:c r="H167" s="97"/>
      <x:c r="I167" s="98"/>
      <x:c r="J167" s="93"/>
      <x:c r="K167" s="94"/>
      <x:c r="L167" s="94" t="n">
        <x:f>IF(OR(E167="미산정",K167="미산정"),"미산정",IF(ISNUMBER(L166),L166+SUM(E167)-SUM(K167),"미산정"))</x:f>
        <x:v>765</x:v>
      </x:c>
      <x:c r="M167" s="98"/>
      <x:c r="N167" s="98"/>
      <x:c r="O167" s="96" t="str">
        <x:f>"113동 / 수직부 거푸집 설치"&amp;CHAR(10)&amp;IF(D167&lt;='원자료·매핑'!$B$15,"반입 완료(가상)","반입 예정")</x:f>
        <x:v>113동 / 수직부 거푸집 설치
반입 예정</x:v>
      </x:c>
    </x:row>
    <x:row r="168" ht="40" customHeight="1">
      <x:c r="A168" s="52"/>
      <x:c r="B168" s="45"/>
      <x:c r="C168" s="45"/>
      <x:c r="D168" s="99"/>
      <x:c r="E168" s="100"/>
      <x:c r="F168" s="97"/>
      <x:c r="G168" s="100" t="str">
        <x:f>IF(COUNT(F161:F168)=0,"",SUM(F161:F168))</x:f>
      </x:c>
      <x:c r="H168" s="97"/>
      <x:c r="I168" s="98"/>
      <x:c r="J168" s="99" t="n">
        <x:f>'원자료·매핑'!I23</x:f>
        <x:v>48</x:v>
      </x:c>
      <x:c r="K168" s="100" t="n">
        <x:f>'원자료·매핑'!O23</x:f>
        <x:v>765</x:v>
      </x:c>
      <x:c r="L168" s="100" t="n">
        <x:f>IF(OR(E168="미산정",K168="미산정"),"미산정",IF(ISNUMBER(L167),L167+SUM(E168)-SUM(K168),"미산정"))</x:f>
        <x:v>0</x:v>
      </x:c>
      <x:c r="M168" s="98"/>
      <x:c r="N168" s="98"/>
      <x:c r="O168" s="102" t="str">
        <x:f>"113동 / 수직부 거푸집 설치"&amp;CHAR(10)&amp;IF('원자료·매핑'!U23=0,"미불출",IF('원자료·매핑'!U23=K168,"전량 불출(가상)","부분 불출 "&amp;TEXT('원자료·매핑'!U23,"#,##0")&amp;" / "&amp;TEXT(K168,"#,##0")&amp;" (가상)"))</x:f>
        <x:v>113동 / 수직부 거푸집 설치
미불출</x:v>
      </x:c>
    </x:row>
    <x:row r="169" ht="32" customHeight="1">
      <x:c r="A169" s="53" t="str">
        <x:v>합계 / 최종 계획잔량</x:v>
      </x:c>
      <x:c r="B169" s="49"/>
      <x:c r="C169" s="49"/>
      <x:c r="D169" s="63"/>
      <x:c r="E169" s="64" t="n">
        <x:f>IF(COUNTIFS(E161:E168,"미산정")&gt;0,"미산정",SUM(E161:E168))</x:f>
        <x:v>3497</x:v>
      </x:c>
      <x:c r="F169" s="64" t="str">
        <x:f>IF(COUNT(F161:F168)=0,"",SUM(F161:F168))</x:f>
      </x:c>
      <x:c r="G169" s="64" t="str">
        <x:f>G168</x:f>
      </x:c>
      <x:c r="H169" s="64" t="str">
        <x:f>IF(COUNT(H161:H168)=0,"",SUM(H161:H168))</x:f>
      </x:c>
      <x:c r="I169" s="63"/>
      <x:c r="J169" s="63"/>
      <x:c r="K169" s="64" t="n">
        <x:f>IF(COUNTIFS(K161:K168,"미산정")&gt;0,"미산정",SUM(K161:K168))</x:f>
        <x:v>3497</x:v>
      </x:c>
      <x:c r="L169" s="64" t="n">
        <x:f>L168</x:f>
        <x:v>0</x:v>
      </x:c>
      <x:c r="M169" s="63"/>
      <x:c r="N169" s="63"/>
      <x:c r="O169" s="49"/>
    </x:row>
    <x:row r="170" ht="26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</x:row>
    <x:row r="171" ht="26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</x:row>
    <x:row r="172" ht="34" customHeight="1">
      <x:c r="A172" s="38" t="str">
        <x:v>08. 주요자재 검사 및 수불부</x:v>
      </x:c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</x:row>
    <x:row r="173" ht="28" customHeight="1">
      <x:c r="A173" s="39" t="str">
        <x:v>품명: 유로폼 / 600x1200</x:v>
      </x:c>
      <x:c r="B173" s="39"/>
      <x:c r="C173" s="39"/>
      <x:c r="D173" s="39"/>
      <x:c r="E173" s="39"/>
      <x:c r="F173" s="39"/>
      <x:c r="G173" s="39"/>
      <x:c r="H173" s="39"/>
      <x:c r="I173" s="39"/>
      <x:c r="J173" s="39" t="str">
        <x:v>단위: 장</x:v>
      </x:c>
      <x:c r="K173" s="39"/>
      <x:c r="L173" s="39"/>
      <x:c r="M173" s="39"/>
      <x:c r="N173" s="39"/>
      <x:c r="O173" s="39"/>
    </x:row>
    <x:row r="174" ht="32" customHeight="1">
      <x:c r="A174" s="4" t="str">
        <x:v>반입·불출 수량은 전체 계획. O열에는 기준일 진행 상태를 구분. 사진에서 검사 합격·규격·수량을 확정하지 않음.</x:v>
      </x:c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</x:row>
    <x:row r="175" ht="30" customHeight="1">
      <x:c r="A175" s="92" t="str">
        <x:f>"기준 WD "&amp;'원자료·매핑'!$B$15&amp;"  기반입 "&amp;TEXT(SUMIFS('원자료·매핑'!$T$17:$T$144,'원자료·매핑'!$D$17:$D$144,"EF-6012"),"#,##0")&amp;" / 기불출 "&amp;TEXT(SUMIFS('원자료·매핑'!$U$17:$U$144,'원자료·매핑'!$D$17:$D$144,"EF-6012"),"#,##0")&amp;" / 현재 야적 "&amp;TEXT(SUMIFS('원자료·매핑'!$V$17:$V$144,'원자료·매핑'!$D$17:$D$144,"EF-6012"),"#,##0")&amp;" (가상)"</x:f>
        <x:v>기준 WD 10  기반입 633 / 기불출 123 / 현재 야적 510 (가상)</x:v>
      </x:c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</x:row>
    <x:row r="176" ht="27" customHeight="1">
      <x:c r="A176" s="44" t="str">
        <x:v>계획량
(가상)</x:v>
      </x:c>
      <x:c r="B176" s="44" t="str">
        <x:v>단위</x:v>
      </x:c>
      <x:c r="C176" s="44" t="str">
        <x:v>규격</x:v>
      </x:c>
      <x:c r="D176" s="44" t="str">
        <x:v>반입일
(적용 WD)</x:v>
      </x:c>
      <x:c r="E176" s="44" t="str">
        <x:v>반입량
(계획)</x:v>
      </x:c>
      <x:c r="F176" s="44" t="str">
        <x:v>합격량</x:v>
      </x:c>
      <x:c r="G176" s="44"/>
      <x:c r="H176" s="44" t="str">
        <x:v>불합격</x:v>
      </x:c>
      <x:c r="I176" s="44"/>
      <x:c r="J176" s="44" t="str">
        <x:v>출고일
(예정 WD)</x:v>
      </x:c>
      <x:c r="K176" s="44" t="str">
        <x:v>출고량
(계획)</x:v>
      </x:c>
      <x:c r="L176" s="44" t="str">
        <x:v>계획잔량</x:v>
      </x:c>
      <x:c r="M176" s="44" t="str">
        <x:v>검사자</x:v>
      </x:c>
      <x:c r="N176" s="44" t="str">
        <x:v>서명</x:v>
      </x:c>
      <x:c r="O176" s="44" t="str">
        <x:v>사용동 · 공정</x:v>
      </x:c>
    </x:row>
    <x:row r="177" ht="27" customHeight="1">
      <x:c r="A177" s="44"/>
      <x:c r="B177" s="44"/>
      <x:c r="C177" s="44"/>
      <x:c r="D177" s="44"/>
      <x:c r="E177" s="44"/>
      <x:c r="F177" s="44" t="str">
        <x:v>금회</x:v>
      </x:c>
      <x:c r="G177" s="44" t="str">
        <x:v>누계</x:v>
      </x:c>
      <x:c r="H177" s="44" t="str">
        <x:v>수량</x:v>
      </x:c>
      <x:c r="I177" s="44" t="str">
        <x:v>사유</x:v>
      </x:c>
      <x:c r="J177" s="44"/>
      <x:c r="K177" s="44"/>
      <x:c r="L177" s="44"/>
      <x:c r="M177" s="44"/>
      <x:c r="N177" s="44"/>
      <x:c r="O177" s="44"/>
    </x:row>
    <x:row r="178" ht="40" customHeight="1">
      <x:c r="A178" s="52" t="n">
        <x:f>IF(COUNTIFS('원자료·매핑'!$D$17:$D$144,"EF-6012",'원자료·매핑'!$O$17:$O$144,"미산정")&gt;0,"미산정",SUMIFS('원자료·매핑'!$O$17:$O$144,'원자료·매핑'!$D$17:$D$144,"EF-6012"))</x:f>
        <x:v>1215</x:v>
      </x:c>
      <x:c r="B178" s="45" t="str">
        <x:v>장</x:v>
      </x:c>
      <x:c r="C178" s="45" t="str">
        <x:v>600x1200
600×1,200mm</x:v>
      </x:c>
      <x:c r="D178" s="93" t="n">
        <x:f>'원자료·매핑'!R88</x:f>
        <x:v>7</x:v>
      </x:c>
      <x:c r="E178" s="94" t="n">
        <x:f>'원자료·매핑'!O88</x:f>
        <x:v>286</x:v>
      </x:c>
      <x:c r="F178" s="97"/>
      <x:c r="G178" s="94" t="str">
        <x:f>IF(COUNT(F178:F178)=0,"",SUM(F178:F178))</x:f>
      </x:c>
      <x:c r="H178" s="97"/>
      <x:c r="I178" s="98"/>
      <x:c r="J178" s="93"/>
      <x:c r="K178" s="94"/>
      <x:c r="L178" s="94" t="n">
        <x:f>IF(OR(E178="미산정",K178="미산정"),"미산정",IF(ISNUMBER('원자료·매핑'!$B$9),'원자료·매핑'!$B$9+SUM(E178)-SUM(K178),"미산정"))</x:f>
        <x:v>286</x:v>
      </x:c>
      <x:c r="M178" s="98"/>
      <x:c r="N178" s="98"/>
      <x:c r="O178" s="96" t="str">
        <x:f>"104동 / 수직부 거푸집 설치"&amp;CHAR(10)&amp;IF(D178&lt;='원자료·매핑'!$B$15,"반입 완료(가상)","반입 예정")</x:f>
        <x:v>104동 / 수직부 거푸집 설치
반입 완료(가상)</x:v>
      </x:c>
    </x:row>
    <x:row r="179" ht="40" customHeight="1">
      <x:c r="A179" s="52"/>
      <x:c r="B179" s="45"/>
      <x:c r="C179" s="45"/>
      <x:c r="D179" s="99"/>
      <x:c r="E179" s="100"/>
      <x:c r="F179" s="97"/>
      <x:c r="G179" s="100" t="str">
        <x:f>IF(COUNT(F178:F179)=0,"",SUM(F178:F179))</x:f>
      </x:c>
      <x:c r="H179" s="97"/>
      <x:c r="I179" s="98"/>
      <x:c r="J179" s="99" t="n">
        <x:f>'원자료·매핑'!I88</x:f>
        <x:v>8</x:v>
      </x:c>
      <x:c r="K179" s="100" t="n">
        <x:f>'원자료·매핑'!O88</x:f>
        <x:v>286</x:v>
      </x:c>
      <x:c r="L179" s="100" t="n">
        <x:f>IF(OR(E179="미산정",K179="미산정"),"미산정",IF(ISNUMBER(L178),L178+SUM(E179)-SUM(K179),"미산정"))</x:f>
        <x:v>0</x:v>
      </x:c>
      <x:c r="M179" s="98"/>
      <x:c r="N179" s="98"/>
      <x:c r="O179" s="102" t="str">
        <x:f>"104동 / 수직부 거푸집 설치"&amp;CHAR(10)&amp;IF('원자료·매핑'!U88=0,"미불출",IF('원자료·매핑'!U88=K179,"전량 불출(가상)","부분 불출 "&amp;TEXT('원자료·매핑'!U88,"#,##0")&amp;" / "&amp;TEXT(K179,"#,##0")&amp;" (가상)"))</x:f>
        <x:v>104동 / 수직부 거푸집 설치
부분 불출 123 / 286 (가상)</x:v>
      </x:c>
    </x:row>
    <x:row r="180" ht="40" customHeight="1">
      <x:c r="A180" s="52"/>
      <x:c r="B180" s="45"/>
      <x:c r="C180" s="45"/>
      <x:c r="D180" s="93" t="n">
        <x:f>'원자료·매핑'!R120</x:f>
        <x:v>10</x:v>
      </x:c>
      <x:c r="E180" s="94" t="n">
        <x:f>'원자료·매핑'!O120</x:f>
        <x:v>347</x:v>
      </x:c>
      <x:c r="F180" s="97"/>
      <x:c r="G180" s="94" t="str">
        <x:f>IF(COUNT(F178:F180)=0,"",SUM(F178:F180))</x:f>
      </x:c>
      <x:c r="H180" s="97"/>
      <x:c r="I180" s="98"/>
      <x:c r="J180" s="93"/>
      <x:c r="K180" s="94"/>
      <x:c r="L180" s="94" t="n">
        <x:f>IF(OR(E180="미산정",K180="미산정"),"미산정",IF(ISNUMBER(L179),L179+SUM(E180)-SUM(K180),"미산정"))</x:f>
        <x:v>347</x:v>
      </x:c>
      <x:c r="M180" s="98"/>
      <x:c r="N180" s="98"/>
      <x:c r="O180" s="96" t="str">
        <x:f>"105동 / 수직부 거푸집 설치"&amp;CHAR(10)&amp;IF(D180&lt;='원자료·매핑'!$B$15,"반입 완료(가상)","반입 예정")</x:f>
        <x:v>105동 / 수직부 거푸집 설치
반입 완료(가상)</x:v>
      </x:c>
    </x:row>
    <x:row r="181" ht="40" customHeight="1">
      <x:c r="A181" s="52"/>
      <x:c r="B181" s="45"/>
      <x:c r="C181" s="45"/>
      <x:c r="D181" s="99"/>
      <x:c r="E181" s="100"/>
      <x:c r="F181" s="97"/>
      <x:c r="G181" s="100" t="str">
        <x:f>IF(COUNT(F178:F181)=0,"",SUM(F178:F181))</x:f>
      </x:c>
      <x:c r="H181" s="97"/>
      <x:c r="I181" s="98"/>
      <x:c r="J181" s="99" t="n">
        <x:f>'원자료·매핑'!I120</x:f>
        <x:v>13</x:v>
      </x:c>
      <x:c r="K181" s="100" t="n">
        <x:f>'원자료·매핑'!O120</x:f>
        <x:v>347</x:v>
      </x:c>
      <x:c r="L181" s="100" t="n">
        <x:f>IF(OR(E181="미산정",K181="미산정"),"미산정",IF(ISNUMBER(L180),L180+SUM(E181)-SUM(K181),"미산정"))</x:f>
        <x:v>0</x:v>
      </x:c>
      <x:c r="M181" s="98"/>
      <x:c r="N181" s="98"/>
      <x:c r="O181" s="102" t="str">
        <x:f>"105동 / 수직부 거푸집 설치"&amp;CHAR(10)&amp;IF('원자료·매핑'!U120=0,"미불출",IF('원자료·매핑'!U120=K181,"전량 불출(가상)","부분 불출 "&amp;TEXT('원자료·매핑'!U120,"#,##0")&amp;" / "&amp;TEXT(K181,"#,##0")&amp;" (가상)"))</x:f>
        <x:v>105동 / 수직부 거푸집 설치
미불출</x:v>
      </x:c>
    </x:row>
    <x:row r="182" ht="40" customHeight="1">
      <x:c r="A182" s="52"/>
      <x:c r="B182" s="45"/>
      <x:c r="C182" s="45"/>
      <x:c r="D182" s="93" t="n">
        <x:f>'원자료·매핑'!R56</x:f>
        <x:v>22</x:v>
      </x:c>
      <x:c r="E182" s="94" t="n">
        <x:f>'원자료·매핑'!O56</x:f>
        <x:v>316</x:v>
      </x:c>
      <x:c r="F182" s="97"/>
      <x:c r="G182" s="94" t="str">
        <x:f>IF(COUNT(F178:F182)=0,"",SUM(F178:F182))</x:f>
      </x:c>
      <x:c r="H182" s="97"/>
      <x:c r="I182" s="98"/>
      <x:c r="J182" s="93"/>
      <x:c r="K182" s="94"/>
      <x:c r="L182" s="94" t="n">
        <x:f>IF(OR(E182="미산정",K182="미산정"),"미산정",IF(ISNUMBER(L181),L181+SUM(E182)-SUM(K182),"미산정"))</x:f>
        <x:v>316</x:v>
      </x:c>
      <x:c r="M182" s="98"/>
      <x:c r="N182" s="98"/>
      <x:c r="O182" s="96" t="str">
        <x:f>"112동 / 수직부 거푸집 설치"&amp;CHAR(10)&amp;IF(D182&lt;='원자료·매핑'!$B$15,"반입 완료(가상)","반입 예정")</x:f>
        <x:v>112동 / 수직부 거푸집 설치
반입 예정</x:v>
      </x:c>
    </x:row>
    <x:row r="183" ht="40" customHeight="1">
      <x:c r="A183" s="52"/>
      <x:c r="B183" s="45"/>
      <x:c r="C183" s="45"/>
      <x:c r="D183" s="99"/>
      <x:c r="E183" s="100"/>
      <x:c r="F183" s="97"/>
      <x:c r="G183" s="100" t="str">
        <x:f>IF(COUNT(F178:F183)=0,"",SUM(F178:F183))</x:f>
      </x:c>
      <x:c r="H183" s="97"/>
      <x:c r="I183" s="98"/>
      <x:c r="J183" s="99" t="n">
        <x:f>'원자료·매핑'!I56</x:f>
        <x:v>23</x:v>
      </x:c>
      <x:c r="K183" s="100" t="n">
        <x:f>'원자료·매핑'!O56</x:f>
        <x:v>316</x:v>
      </x:c>
      <x:c r="L183" s="100" t="n">
        <x:f>IF(OR(E183="미산정",K183="미산정"),"미산정",IF(ISNUMBER(L182),L182+SUM(E183)-SUM(K183),"미산정"))</x:f>
        <x:v>0</x:v>
      </x:c>
      <x:c r="M183" s="98"/>
      <x:c r="N183" s="98"/>
      <x:c r="O183" s="102" t="str">
        <x:f>"112동 / 수직부 거푸집 설치"&amp;CHAR(10)&amp;IF('원자료·매핑'!U56=0,"미불출",IF('원자료·매핑'!U56=K183,"전량 불출(가상)","부분 불출 "&amp;TEXT('원자료·매핑'!U56,"#,##0")&amp;" / "&amp;TEXT(K183,"#,##0")&amp;" (가상)"))</x:f>
        <x:v>112동 / 수직부 거푸집 설치
미불출</x:v>
      </x:c>
    </x:row>
    <x:row r="184" ht="40" customHeight="1">
      <x:c r="A184" s="52"/>
      <x:c r="B184" s="45"/>
      <x:c r="C184" s="45"/>
      <x:c r="D184" s="93" t="n">
        <x:f>'원자료·매핑'!R24</x:f>
        <x:v>47</x:v>
      </x:c>
      <x:c r="E184" s="94" t="n">
        <x:f>'원자료·매핑'!O24</x:f>
        <x:v>266</x:v>
      </x:c>
      <x:c r="F184" s="97"/>
      <x:c r="G184" s="94" t="str">
        <x:f>IF(COUNT(F178:F184)=0,"",SUM(F178:F184))</x:f>
      </x:c>
      <x:c r="H184" s="97"/>
      <x:c r="I184" s="98"/>
      <x:c r="J184" s="93"/>
      <x:c r="K184" s="94"/>
      <x:c r="L184" s="94" t="n">
        <x:f>IF(OR(E184="미산정",K184="미산정"),"미산정",IF(ISNUMBER(L183),L183+SUM(E184)-SUM(K184),"미산정"))</x:f>
        <x:v>266</x:v>
      </x:c>
      <x:c r="M184" s="98"/>
      <x:c r="N184" s="98"/>
      <x:c r="O184" s="96" t="str">
        <x:f>"113동 / 수직부 거푸집 설치"&amp;CHAR(10)&amp;IF(D184&lt;='원자료·매핑'!$B$15,"반입 완료(가상)","반입 예정")</x:f>
        <x:v>113동 / 수직부 거푸집 설치
반입 예정</x:v>
      </x:c>
    </x:row>
    <x:row r="185" ht="40" customHeight="1">
      <x:c r="A185" s="52"/>
      <x:c r="B185" s="45"/>
      <x:c r="C185" s="45"/>
      <x:c r="D185" s="99"/>
      <x:c r="E185" s="100"/>
      <x:c r="F185" s="97"/>
      <x:c r="G185" s="100" t="str">
        <x:f>IF(COUNT(F178:F185)=0,"",SUM(F178:F185))</x:f>
      </x:c>
      <x:c r="H185" s="97"/>
      <x:c r="I185" s="98"/>
      <x:c r="J185" s="99" t="n">
        <x:f>'원자료·매핑'!I24</x:f>
        <x:v>48</x:v>
      </x:c>
      <x:c r="K185" s="100" t="n">
        <x:f>'원자료·매핑'!O24</x:f>
        <x:v>266</x:v>
      </x:c>
      <x:c r="L185" s="100" t="n">
        <x:f>IF(OR(E185="미산정",K185="미산정"),"미산정",IF(ISNUMBER(L184),L184+SUM(E185)-SUM(K185),"미산정"))</x:f>
        <x:v>0</x:v>
      </x:c>
      <x:c r="M185" s="98"/>
      <x:c r="N185" s="98"/>
      <x:c r="O185" s="102" t="str">
        <x:f>"113동 / 수직부 거푸집 설치"&amp;CHAR(10)&amp;IF('원자료·매핑'!U24=0,"미불출",IF('원자료·매핑'!U24=K185,"전량 불출(가상)","부분 불출 "&amp;TEXT('원자료·매핑'!U24,"#,##0")&amp;" / "&amp;TEXT(K185,"#,##0")&amp;" (가상)"))</x:f>
        <x:v>113동 / 수직부 거푸집 설치
미불출</x:v>
      </x:c>
    </x:row>
    <x:row r="186" ht="32" customHeight="1">
      <x:c r="A186" s="53" t="str">
        <x:v>합계 / 최종 계획잔량</x:v>
      </x:c>
      <x:c r="B186" s="49"/>
      <x:c r="C186" s="49"/>
      <x:c r="D186" s="63"/>
      <x:c r="E186" s="64" t="n">
        <x:f>IF(COUNTIFS(E178:E185,"미산정")&gt;0,"미산정",SUM(E178:E185))</x:f>
        <x:v>1215</x:v>
      </x:c>
      <x:c r="F186" s="64" t="str">
        <x:f>IF(COUNT(F178:F185)=0,"",SUM(F178:F185))</x:f>
      </x:c>
      <x:c r="G186" s="64" t="str">
        <x:f>G185</x:f>
      </x:c>
      <x:c r="H186" s="64" t="str">
        <x:f>IF(COUNT(H178:H185)=0,"",SUM(H178:H185))</x:f>
      </x:c>
      <x:c r="I186" s="63"/>
      <x:c r="J186" s="63"/>
      <x:c r="K186" s="64" t="n">
        <x:f>IF(COUNTIFS(K178:K185,"미산정")&gt;0,"미산정",SUM(K178:K185))</x:f>
        <x:v>1215</x:v>
      </x:c>
      <x:c r="L186" s="64" t="n">
        <x:f>L185</x:f>
        <x:v>0</x:v>
      </x:c>
      <x:c r="M186" s="63"/>
      <x:c r="N186" s="63"/>
      <x:c r="O186" s="49"/>
    </x:row>
    <x:row r="187" ht="26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</x:row>
    <x:row r="188" ht="26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</x:row>
    <x:row r="189" ht="34" customHeight="1">
      <x:c r="A189" s="38" t="str">
        <x:v>09. 주요자재 검사 및 수불부</x:v>
      </x:c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</x:row>
    <x:row r="190" ht="28" customHeight="1">
      <x:c r="A190" s="39" t="str">
        <x:v>품명: 유로폼 / 300x1200</x:v>
      </x:c>
      <x:c r="B190" s="39"/>
      <x:c r="C190" s="39"/>
      <x:c r="D190" s="39"/>
      <x:c r="E190" s="39"/>
      <x:c r="F190" s="39"/>
      <x:c r="G190" s="39"/>
      <x:c r="H190" s="39"/>
      <x:c r="I190" s="39"/>
      <x:c r="J190" s="39" t="str">
        <x:v>단위: 장</x:v>
      </x:c>
      <x:c r="K190" s="39"/>
      <x:c r="L190" s="39"/>
      <x:c r="M190" s="39"/>
      <x:c r="N190" s="39"/>
      <x:c r="O190" s="39"/>
    </x:row>
    <x:row r="191" ht="32" customHeight="1">
      <x:c r="A191" s="4" t="str">
        <x:v>반입·불출 수량은 전체 계획. O열에는 기준일 진행 상태를 구분. 사진에서 검사 합격·규격·수량을 확정하지 않음.</x:v>
      </x:c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</x:row>
    <x:row r="192" ht="30" customHeight="1">
      <x:c r="A192" s="92" t="str">
        <x:f>"기준 WD "&amp;'원자료·매핑'!$B$15&amp;"  기반입 "&amp;TEXT(SUMIFS('원자료·매핑'!$T$17:$T$144,'원자료·매핑'!$D$17:$D$144,"EF-3012"),"#,##0")&amp;" / 기불출 "&amp;TEXT(SUMIFS('원자료·매핑'!$U$17:$U$144,'원자료·매핑'!$D$17:$D$144,"EF-3012"),"#,##0")&amp;" / 현재 야적 "&amp;TEXT(SUMIFS('원자료·매핑'!$V$17:$V$144,'원자료·매핑'!$D$17:$D$144,"EF-3012"),"#,##0")&amp;" (가상)"</x:f>
        <x:v>기준 WD 10  기반입 507 / 기불출 98 / 현재 야적 409 (가상)</x:v>
      </x:c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</x:row>
    <x:row r="193" ht="27" customHeight="1">
      <x:c r="A193" s="44" t="str">
        <x:v>계획량
(가상)</x:v>
      </x:c>
      <x:c r="B193" s="44" t="str">
        <x:v>단위</x:v>
      </x:c>
      <x:c r="C193" s="44" t="str">
        <x:v>규격</x:v>
      </x:c>
      <x:c r="D193" s="44" t="str">
        <x:v>반입일
(적용 WD)</x:v>
      </x:c>
      <x:c r="E193" s="44" t="str">
        <x:v>반입량
(계획)</x:v>
      </x:c>
      <x:c r="F193" s="44" t="str">
        <x:v>합격량</x:v>
      </x:c>
      <x:c r="G193" s="44"/>
      <x:c r="H193" s="44" t="str">
        <x:v>불합격</x:v>
      </x:c>
      <x:c r="I193" s="44"/>
      <x:c r="J193" s="44" t="str">
        <x:v>출고일
(예정 WD)</x:v>
      </x:c>
      <x:c r="K193" s="44" t="str">
        <x:v>출고량
(계획)</x:v>
      </x:c>
      <x:c r="L193" s="44" t="str">
        <x:v>계획잔량</x:v>
      </x:c>
      <x:c r="M193" s="44" t="str">
        <x:v>검사자</x:v>
      </x:c>
      <x:c r="N193" s="44" t="str">
        <x:v>서명</x:v>
      </x:c>
      <x:c r="O193" s="44" t="str">
        <x:v>사용동 · 공정</x:v>
      </x:c>
    </x:row>
    <x:row r="194" ht="27" customHeight="1">
      <x:c r="A194" s="44"/>
      <x:c r="B194" s="44"/>
      <x:c r="C194" s="44"/>
      <x:c r="D194" s="44"/>
      <x:c r="E194" s="44"/>
      <x:c r="F194" s="44" t="str">
        <x:v>금회</x:v>
      </x:c>
      <x:c r="G194" s="44" t="str">
        <x:v>누계</x:v>
      </x:c>
      <x:c r="H194" s="44" t="str">
        <x:v>수량</x:v>
      </x:c>
      <x:c r="I194" s="44" t="str">
        <x:v>사유</x:v>
      </x:c>
      <x:c r="J194" s="44"/>
      <x:c r="K194" s="44"/>
      <x:c r="L194" s="44"/>
      <x:c r="M194" s="44"/>
      <x:c r="N194" s="44"/>
      <x:c r="O194" s="44"/>
    </x:row>
    <x:row r="195" ht="40" customHeight="1">
      <x:c r="A195" s="52" t="n">
        <x:f>IF(COUNTIFS('원자료·매핑'!$D$17:$D$144,"EF-3012",'원자료·매핑'!$O$17:$O$144,"미산정")&gt;0,"미산정",SUMIFS('원자료·매핑'!$O$17:$O$144,'원자료·매핑'!$D$17:$D$144,"EF-3012"))</x:f>
        <x:v>973</x:v>
      </x:c>
      <x:c r="B195" s="45" t="str">
        <x:v>장</x:v>
      </x:c>
      <x:c r="C195" s="45" t="str">
        <x:v>300x1200
300×1,200mm</x:v>
      </x:c>
      <x:c r="D195" s="93" t="n">
        <x:f>'원자료·매핑'!R89</x:f>
        <x:v>7</x:v>
      </x:c>
      <x:c r="E195" s="94" t="n">
        <x:f>'원자료·매핑'!O89</x:f>
        <x:v>229</x:v>
      </x:c>
      <x:c r="F195" s="97"/>
      <x:c r="G195" s="94" t="str">
        <x:f>IF(COUNT(F195:F195)=0,"",SUM(F195:F195))</x:f>
      </x:c>
      <x:c r="H195" s="97"/>
      <x:c r="I195" s="98"/>
      <x:c r="J195" s="93"/>
      <x:c r="K195" s="94"/>
      <x:c r="L195" s="94" t="n">
        <x:f>IF(OR(E195="미산정",K195="미산정"),"미산정",IF(ISNUMBER('원자료·매핑'!$B$9),'원자료·매핑'!$B$9+SUM(E195)-SUM(K195),"미산정"))</x:f>
        <x:v>229</x:v>
      </x:c>
      <x:c r="M195" s="98"/>
      <x:c r="N195" s="98"/>
      <x:c r="O195" s="96" t="str">
        <x:f>"104동 / 수직부 거푸집 설치"&amp;CHAR(10)&amp;IF(D195&lt;='원자료·매핑'!$B$15,"반입 완료(가상)","반입 예정")</x:f>
        <x:v>104동 / 수직부 거푸집 설치
반입 완료(가상)</x:v>
      </x:c>
    </x:row>
    <x:row r="196" ht="40" customHeight="1">
      <x:c r="A196" s="52"/>
      <x:c r="B196" s="45"/>
      <x:c r="C196" s="45"/>
      <x:c r="D196" s="99"/>
      <x:c r="E196" s="100"/>
      <x:c r="F196" s="97"/>
      <x:c r="G196" s="100" t="str">
        <x:f>IF(COUNT(F195:F196)=0,"",SUM(F195:F196))</x:f>
      </x:c>
      <x:c r="H196" s="97"/>
      <x:c r="I196" s="98"/>
      <x:c r="J196" s="99" t="n">
        <x:f>'원자료·매핑'!I89</x:f>
        <x:v>8</x:v>
      </x:c>
      <x:c r="K196" s="100" t="n">
        <x:f>'원자료·매핑'!O89</x:f>
        <x:v>229</x:v>
      </x:c>
      <x:c r="L196" s="100" t="n">
        <x:f>IF(OR(E196="미산정",K196="미산정"),"미산정",IF(ISNUMBER(L195),L195+SUM(E196)-SUM(K196),"미산정"))</x:f>
        <x:v>0</x:v>
      </x:c>
      <x:c r="M196" s="98"/>
      <x:c r="N196" s="98"/>
      <x:c r="O196" s="102" t="str">
        <x:f>"104동 / 수직부 거푸집 설치"&amp;CHAR(10)&amp;IF('원자료·매핑'!U89=0,"미불출",IF('원자료·매핑'!U89=K196,"전량 불출(가상)","부분 불출 "&amp;TEXT('원자료·매핑'!U89,"#,##0")&amp;" / "&amp;TEXT(K196,"#,##0")&amp;" (가상)"))</x:f>
        <x:v>104동 / 수직부 거푸집 설치
부분 불출 98 / 229 (가상)</x:v>
      </x:c>
    </x:row>
    <x:row r="197" ht="40" customHeight="1">
      <x:c r="A197" s="52"/>
      <x:c r="B197" s="45"/>
      <x:c r="C197" s="45"/>
      <x:c r="D197" s="93" t="n">
        <x:f>'원자료·매핑'!R121</x:f>
        <x:v>10</x:v>
      </x:c>
      <x:c r="E197" s="94" t="n">
        <x:f>'원자료·매핑'!O121</x:f>
        <x:v>278</x:v>
      </x:c>
      <x:c r="F197" s="97"/>
      <x:c r="G197" s="94" t="str">
        <x:f>IF(COUNT(F195:F197)=0,"",SUM(F195:F197))</x:f>
      </x:c>
      <x:c r="H197" s="97"/>
      <x:c r="I197" s="98"/>
      <x:c r="J197" s="93"/>
      <x:c r="K197" s="94"/>
      <x:c r="L197" s="94" t="n">
        <x:f>IF(OR(E197="미산정",K197="미산정"),"미산정",IF(ISNUMBER(L196),L196+SUM(E197)-SUM(K197),"미산정"))</x:f>
        <x:v>278</x:v>
      </x:c>
      <x:c r="M197" s="98"/>
      <x:c r="N197" s="98"/>
      <x:c r="O197" s="96" t="str">
        <x:f>"105동 / 수직부 거푸집 설치"&amp;CHAR(10)&amp;IF(D197&lt;='원자료·매핑'!$B$15,"반입 완료(가상)","반입 예정")</x:f>
        <x:v>105동 / 수직부 거푸집 설치
반입 완료(가상)</x:v>
      </x:c>
    </x:row>
    <x:row r="198" ht="40" customHeight="1">
      <x:c r="A198" s="52"/>
      <x:c r="B198" s="45"/>
      <x:c r="C198" s="45"/>
      <x:c r="D198" s="99"/>
      <x:c r="E198" s="100"/>
      <x:c r="F198" s="97"/>
      <x:c r="G198" s="100" t="str">
        <x:f>IF(COUNT(F195:F198)=0,"",SUM(F195:F198))</x:f>
      </x:c>
      <x:c r="H198" s="97"/>
      <x:c r="I198" s="98"/>
      <x:c r="J198" s="99" t="n">
        <x:f>'원자료·매핑'!I121</x:f>
        <x:v>13</x:v>
      </x:c>
      <x:c r="K198" s="100" t="n">
        <x:f>'원자료·매핑'!O121</x:f>
        <x:v>278</x:v>
      </x:c>
      <x:c r="L198" s="100" t="n">
        <x:f>IF(OR(E198="미산정",K198="미산정"),"미산정",IF(ISNUMBER(L197),L197+SUM(E198)-SUM(K198),"미산정"))</x:f>
        <x:v>0</x:v>
      </x:c>
      <x:c r="M198" s="98"/>
      <x:c r="N198" s="98"/>
      <x:c r="O198" s="102" t="str">
        <x:f>"105동 / 수직부 거푸집 설치"&amp;CHAR(10)&amp;IF('원자료·매핑'!U121=0,"미불출",IF('원자료·매핑'!U121=K198,"전량 불출(가상)","부분 불출 "&amp;TEXT('원자료·매핑'!U121,"#,##0")&amp;" / "&amp;TEXT(K198,"#,##0")&amp;" (가상)"))</x:f>
        <x:v>105동 / 수직부 거푸집 설치
미불출</x:v>
      </x:c>
    </x:row>
    <x:row r="199" ht="40" customHeight="1">
      <x:c r="A199" s="52"/>
      <x:c r="B199" s="45"/>
      <x:c r="C199" s="45"/>
      <x:c r="D199" s="93" t="n">
        <x:f>'원자료·매핑'!R57</x:f>
        <x:v>22</x:v>
      </x:c>
      <x:c r="E199" s="94" t="n">
        <x:f>'원자료·매핑'!O57</x:f>
        <x:v>253</x:v>
      </x:c>
      <x:c r="F199" s="97"/>
      <x:c r="G199" s="94" t="str">
        <x:f>IF(COUNT(F195:F199)=0,"",SUM(F195:F199))</x:f>
      </x:c>
      <x:c r="H199" s="97"/>
      <x:c r="I199" s="98"/>
      <x:c r="J199" s="93"/>
      <x:c r="K199" s="94"/>
      <x:c r="L199" s="94" t="n">
        <x:f>IF(OR(E199="미산정",K199="미산정"),"미산정",IF(ISNUMBER(L198),L198+SUM(E199)-SUM(K199),"미산정"))</x:f>
        <x:v>253</x:v>
      </x:c>
      <x:c r="M199" s="98"/>
      <x:c r="N199" s="98"/>
      <x:c r="O199" s="96" t="str">
        <x:f>"112동 / 수직부 거푸집 설치"&amp;CHAR(10)&amp;IF(D199&lt;='원자료·매핑'!$B$15,"반입 완료(가상)","반입 예정")</x:f>
        <x:v>112동 / 수직부 거푸집 설치
반입 예정</x:v>
      </x:c>
    </x:row>
    <x:row r="200" ht="40" customHeight="1">
      <x:c r="A200" s="52"/>
      <x:c r="B200" s="45"/>
      <x:c r="C200" s="45"/>
      <x:c r="D200" s="99"/>
      <x:c r="E200" s="100"/>
      <x:c r="F200" s="97"/>
      <x:c r="G200" s="100" t="str">
        <x:f>IF(COUNT(F195:F200)=0,"",SUM(F195:F200))</x:f>
      </x:c>
      <x:c r="H200" s="97"/>
      <x:c r="I200" s="98"/>
      <x:c r="J200" s="99" t="n">
        <x:f>'원자료·매핑'!I57</x:f>
        <x:v>23</x:v>
      </x:c>
      <x:c r="K200" s="100" t="n">
        <x:f>'원자료·매핑'!O57</x:f>
        <x:v>253</x:v>
      </x:c>
      <x:c r="L200" s="100" t="n">
        <x:f>IF(OR(E200="미산정",K200="미산정"),"미산정",IF(ISNUMBER(L199),L199+SUM(E200)-SUM(K200),"미산정"))</x:f>
        <x:v>0</x:v>
      </x:c>
      <x:c r="M200" s="98"/>
      <x:c r="N200" s="98"/>
      <x:c r="O200" s="102" t="str">
        <x:f>"112동 / 수직부 거푸집 설치"&amp;CHAR(10)&amp;IF('원자료·매핑'!U57=0,"미불출",IF('원자료·매핑'!U57=K200,"전량 불출(가상)","부분 불출 "&amp;TEXT('원자료·매핑'!U57,"#,##0")&amp;" / "&amp;TEXT(K200,"#,##0")&amp;" (가상)"))</x:f>
        <x:v>112동 / 수직부 거푸집 설치
미불출</x:v>
      </x:c>
    </x:row>
    <x:row r="201" ht="40" customHeight="1">
      <x:c r="A201" s="52"/>
      <x:c r="B201" s="45"/>
      <x:c r="C201" s="45"/>
      <x:c r="D201" s="93" t="n">
        <x:f>'원자료·매핑'!R25</x:f>
        <x:v>47</x:v>
      </x:c>
      <x:c r="E201" s="94" t="n">
        <x:f>'원자료·매핑'!O25</x:f>
        <x:v>213</x:v>
      </x:c>
      <x:c r="F201" s="97"/>
      <x:c r="G201" s="94" t="str">
        <x:f>IF(COUNT(F195:F201)=0,"",SUM(F195:F201))</x:f>
      </x:c>
      <x:c r="H201" s="97"/>
      <x:c r="I201" s="98"/>
      <x:c r="J201" s="93"/>
      <x:c r="K201" s="94"/>
      <x:c r="L201" s="94" t="n">
        <x:f>IF(OR(E201="미산정",K201="미산정"),"미산정",IF(ISNUMBER(L200),L200+SUM(E201)-SUM(K201),"미산정"))</x:f>
        <x:v>213</x:v>
      </x:c>
      <x:c r="M201" s="98"/>
      <x:c r="N201" s="98"/>
      <x:c r="O201" s="96" t="str">
        <x:f>"113동 / 수직부 거푸집 설치"&amp;CHAR(10)&amp;IF(D201&lt;='원자료·매핑'!$B$15,"반입 완료(가상)","반입 예정")</x:f>
        <x:v>113동 / 수직부 거푸집 설치
반입 예정</x:v>
      </x:c>
    </x:row>
    <x:row r="202" ht="40" customHeight="1">
      <x:c r="A202" s="52"/>
      <x:c r="B202" s="45"/>
      <x:c r="C202" s="45"/>
      <x:c r="D202" s="99"/>
      <x:c r="E202" s="100"/>
      <x:c r="F202" s="97"/>
      <x:c r="G202" s="100" t="str">
        <x:f>IF(COUNT(F195:F202)=0,"",SUM(F195:F202))</x:f>
      </x:c>
      <x:c r="H202" s="97"/>
      <x:c r="I202" s="98"/>
      <x:c r="J202" s="99" t="n">
        <x:f>'원자료·매핑'!I25</x:f>
        <x:v>48</x:v>
      </x:c>
      <x:c r="K202" s="100" t="n">
        <x:f>'원자료·매핑'!O25</x:f>
        <x:v>213</x:v>
      </x:c>
      <x:c r="L202" s="100" t="n">
        <x:f>IF(OR(E202="미산정",K202="미산정"),"미산정",IF(ISNUMBER(L201),L201+SUM(E202)-SUM(K202),"미산정"))</x:f>
        <x:v>0</x:v>
      </x:c>
      <x:c r="M202" s="98"/>
      <x:c r="N202" s="98"/>
      <x:c r="O202" s="102" t="str">
        <x:f>"113동 / 수직부 거푸집 설치"&amp;CHAR(10)&amp;IF('원자료·매핑'!U25=0,"미불출",IF('원자료·매핑'!U25=K202,"전량 불출(가상)","부분 불출 "&amp;TEXT('원자료·매핑'!U25,"#,##0")&amp;" / "&amp;TEXT(K202,"#,##0")&amp;" (가상)"))</x:f>
        <x:v>113동 / 수직부 거푸집 설치
미불출</x:v>
      </x:c>
    </x:row>
    <x:row r="203" ht="32" customHeight="1">
      <x:c r="A203" s="53" t="str">
        <x:v>합계 / 최종 계획잔량</x:v>
      </x:c>
      <x:c r="B203" s="49"/>
      <x:c r="C203" s="49"/>
      <x:c r="D203" s="63"/>
      <x:c r="E203" s="64" t="n">
        <x:f>IF(COUNTIFS(E195:E202,"미산정")&gt;0,"미산정",SUM(E195:E202))</x:f>
        <x:v>973</x:v>
      </x:c>
      <x:c r="F203" s="64" t="str">
        <x:f>IF(COUNT(F195:F202)=0,"",SUM(F195:F202))</x:f>
      </x:c>
      <x:c r="G203" s="64" t="str">
        <x:f>G202</x:f>
      </x:c>
      <x:c r="H203" s="64" t="str">
        <x:f>IF(COUNT(H195:H202)=0,"",SUM(H195:H202))</x:f>
      </x:c>
      <x:c r="I203" s="63"/>
      <x:c r="J203" s="63"/>
      <x:c r="K203" s="64" t="n">
        <x:f>IF(COUNTIFS(K195:K202,"미산정")&gt;0,"미산정",SUM(K195:K202))</x:f>
        <x:v>973</x:v>
      </x:c>
      <x:c r="L203" s="64" t="n">
        <x:f>L202</x:f>
        <x:v>0</x:v>
      </x:c>
      <x:c r="M203" s="63"/>
      <x:c r="N203" s="63"/>
      <x:c r="O203" s="49"/>
    </x:row>
    <x:row r="204" ht="26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</x:row>
    <x:row r="205" ht="26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</x:row>
    <x:row r="206" ht="34" customHeight="1">
      <x:c r="A206" s="38" t="str">
        <x:v>10. 주요자재 검사 및 수불부</x:v>
      </x:c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</x:row>
    <x:row r="207" ht="28" customHeight="1">
      <x:c r="A207" s="39" t="str">
        <x:v>품명: 시스템서포트 / 동바리 상부자키</x:v>
      </x:c>
      <x:c r="B207" s="39"/>
      <x:c r="C207" s="39"/>
      <x:c r="D207" s="39"/>
      <x:c r="E207" s="39"/>
      <x:c r="F207" s="39"/>
      <x:c r="G207" s="39"/>
      <x:c r="H207" s="39"/>
      <x:c r="I207" s="39"/>
      <x:c r="J207" s="39" t="str">
        <x:v>단위: 개</x:v>
      </x:c>
      <x:c r="K207" s="39"/>
      <x:c r="L207" s="39"/>
      <x:c r="M207" s="39"/>
      <x:c r="N207" s="39"/>
      <x:c r="O207" s="39"/>
    </x:row>
    <x:row r="208" ht="32" customHeight="1">
      <x:c r="A208" s="4" t="str">
        <x:v>반입·불출 수량은 전체 계획. O열에는 기준일 진행 상태를 구분. 사진에서 검사 합격·규격·수량을 확정하지 않음.</x:v>
      </x:c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</x:row>
    <x:row r="209" ht="30" customHeight="1">
      <x:c r="A209" s="92" t="str">
        <x:f>"기준 WD "&amp;'원자료·매핑'!$B$15&amp;"  기반입 "&amp;TEXT(SUMIFS('원자료·매핑'!$T$17:$T$144,'원자료·매핑'!$D$17:$D$144,"UJ-600"),"#,##0")&amp;" / 기불출 "&amp;TEXT(SUMIFS('원자료·매핑'!$U$17:$U$144,'원자료·매핑'!$D$17:$D$144,"UJ-600"),"#,##0")&amp;" / 현재 야적 "&amp;TEXT(SUMIFS('원자료·매핑'!$V$17:$V$144,'원자료·매핑'!$D$17:$D$144,"UJ-600"),"#,##0")&amp;" (가상)"</x:f>
        <x:v>기준 WD 10  기반입 546 / 기불출 0 / 현재 야적 546 (가상)</x:v>
      </x:c>
      <x:c r="B209" s="92"/>
      <x:c r="C209" s="92"/>
      <x:c r="D209" s="92"/>
      <x:c r="E209" s="92"/>
      <x:c r="F209" s="92"/>
      <x:c r="G209" s="92"/>
      <x:c r="H209" s="92"/>
      <x:c r="I209" s="92"/>
      <x:c r="J209" s="92"/>
      <x:c r="K209" s="92"/>
      <x:c r="L209" s="92"/>
      <x:c r="M209" s="92"/>
      <x:c r="N209" s="92"/>
      <x:c r="O209" s="92"/>
    </x:row>
    <x:row r="210" ht="27" customHeight="1">
      <x:c r="A210" s="44" t="str">
        <x:v>계획량
(가상)</x:v>
      </x:c>
      <x:c r="B210" s="44" t="str">
        <x:v>단위</x:v>
      </x:c>
      <x:c r="C210" s="44" t="str">
        <x:v>규격</x:v>
      </x:c>
      <x:c r="D210" s="44" t="str">
        <x:v>반입일
(적용 WD)</x:v>
      </x:c>
      <x:c r="E210" s="44" t="str">
        <x:v>반입량
(계획)</x:v>
      </x:c>
      <x:c r="F210" s="44" t="str">
        <x:v>합격량</x:v>
      </x:c>
      <x:c r="G210" s="44"/>
      <x:c r="H210" s="44" t="str">
        <x:v>불합격</x:v>
      </x:c>
      <x:c r="I210" s="44"/>
      <x:c r="J210" s="44" t="str">
        <x:v>출고일
(예정 WD)</x:v>
      </x:c>
      <x:c r="K210" s="44" t="str">
        <x:v>출고량
(계획)</x:v>
      </x:c>
      <x:c r="L210" s="44" t="str">
        <x:v>계획잔량</x:v>
      </x:c>
      <x:c r="M210" s="44" t="str">
        <x:v>검사자</x:v>
      </x:c>
      <x:c r="N210" s="44" t="str">
        <x:v>서명</x:v>
      </x:c>
      <x:c r="O210" s="44" t="str">
        <x:v>사용동 · 공정</x:v>
      </x:c>
    </x:row>
    <x:row r="211" ht="27" customHeight="1">
      <x:c r="A211" s="44"/>
      <x:c r="B211" s="44"/>
      <x:c r="C211" s="44"/>
      <x:c r="D211" s="44"/>
      <x:c r="E211" s="44"/>
      <x:c r="F211" s="44" t="str">
        <x:v>금회</x:v>
      </x:c>
      <x:c r="G211" s="44" t="str">
        <x:v>누계</x:v>
      </x:c>
      <x:c r="H211" s="44" t="str">
        <x:v>수량</x:v>
      </x:c>
      <x:c r="I211" s="44" t="str">
        <x:v>사유</x:v>
      </x:c>
      <x:c r="J211" s="44"/>
      <x:c r="K211" s="44"/>
      <x:c r="L211" s="44"/>
      <x:c r="M211" s="44"/>
      <x:c r="N211" s="44"/>
      <x:c r="O211" s="44"/>
    </x:row>
    <x:row r="212" ht="40" customHeight="1">
      <x:c r="A212" s="52" t="n">
        <x:f>IF(COUNTIFS('원자료·매핑'!$D$17:$D$144,"UJ-600",'원자료·매핑'!$O$17:$O$144,"미산정")&gt;0,"미산정",SUMIFS('원자료·매핑'!$O$17:$O$144,'원자료·매핑'!$D$17:$D$144,"UJ-600"))</x:f>
        <x:v>2268</x:v>
      </x:c>
      <x:c r="B212" s="45" t="str">
        <x:v>개</x:v>
      </x:c>
      <x:c r="C212" s="45" t="str">
        <x:v>동바리 상부자키
Ø45 / L=600mm</x:v>
      </x:c>
      <x:c r="D212" s="93" t="n">
        <x:f>'원자료·매핑'!R101</x:f>
        <x:v>9</x:v>
      </x:c>
      <x:c r="E212" s="94" t="n">
        <x:f>'원자료·매핑'!O101</x:f>
        <x:v>546</x:v>
      </x:c>
      <x:c r="F212" s="97"/>
      <x:c r="G212" s="94" t="str">
        <x:f>IF(COUNT(F212:F212)=0,"",SUM(F212:F212))</x:f>
      </x:c>
      <x:c r="H212" s="97"/>
      <x:c r="I212" s="98"/>
      <x:c r="J212" s="93"/>
      <x:c r="K212" s="94"/>
      <x:c r="L212" s="94" t="n">
        <x:f>IF(OR(E212="미산정",K212="미산정"),"미산정",IF(ISNUMBER('원자료·매핑'!$B$9),'원자료·매핑'!$B$9+SUM(E212)-SUM(K212),"미산정"))</x:f>
        <x:v>546</x:v>
      </x:c>
      <x:c r="M212" s="98"/>
      <x:c r="N212" s="98"/>
      <x:c r="O212" s="96" t="str">
        <x:f>"104동 / 시스템동바리 조립"&amp;CHAR(10)&amp;IF(D212&lt;='원자료·매핑'!$B$15,"반입 완료(가상)","반입 예정")</x:f>
        <x:v>104동 / 시스템동바리 조립
반입 완료(가상)</x:v>
      </x:c>
    </x:row>
    <x:row r="213" ht="40" customHeight="1">
      <x:c r="A213" s="52"/>
      <x:c r="B213" s="45"/>
      <x:c r="C213" s="45"/>
      <x:c r="D213" s="99"/>
      <x:c r="E213" s="100"/>
      <x:c r="F213" s="97"/>
      <x:c r="G213" s="100" t="str">
        <x:f>IF(COUNT(F212:F213)=0,"",SUM(F212:F213))</x:f>
      </x:c>
      <x:c r="H213" s="97"/>
      <x:c r="I213" s="98"/>
      <x:c r="J213" s="99" t="n">
        <x:f>'원자료·매핑'!I101</x:f>
        <x:v>15</x:v>
      </x:c>
      <x:c r="K213" s="100" t="n">
        <x:f>'원자료·매핑'!O101</x:f>
        <x:v>546</x:v>
      </x:c>
      <x:c r="L213" s="100" t="n">
        <x:f>IF(OR(E213="미산정",K213="미산정"),"미산정",IF(ISNUMBER(L212),L212+SUM(E213)-SUM(K213),"미산정"))</x:f>
        <x:v>0</x:v>
      </x:c>
      <x:c r="M213" s="98"/>
      <x:c r="N213" s="98"/>
      <x:c r="O213" s="102" t="str">
        <x:f>"104동 / 시스템동바리 조립"&amp;CHAR(10)&amp;IF('원자료·매핑'!U101=0,"미불출",IF('원자료·매핑'!U101=K213,"전량 불출(가상)","부분 불출 "&amp;TEXT('원자료·매핑'!U101,"#,##0")&amp;" / "&amp;TEXT(K213,"#,##0")&amp;" (가상)"))</x:f>
        <x:v>104동 / 시스템동바리 조립
미불출</x:v>
      </x:c>
    </x:row>
    <x:row r="214" ht="40" customHeight="1">
      <x:c r="A214" s="52"/>
      <x:c r="B214" s="45"/>
      <x:c r="C214" s="45"/>
      <x:c r="D214" s="93" t="n">
        <x:f>'원자료·매핑'!R133</x:f>
        <x:v>19</x:v>
      </x:c>
      <x:c r="E214" s="94" t="n">
        <x:f>'원자료·매핑'!O133</x:f>
        <x:v>630</x:v>
      </x:c>
      <x:c r="F214" s="97"/>
      <x:c r="G214" s="94" t="str">
        <x:f>IF(COUNT(F212:F214)=0,"",SUM(F212:F214))</x:f>
      </x:c>
      <x:c r="H214" s="97"/>
      <x:c r="I214" s="98"/>
      <x:c r="J214" s="93"/>
      <x:c r="K214" s="94"/>
      <x:c r="L214" s="94" t="n">
        <x:f>IF(OR(E214="미산정",K214="미산정"),"미산정",IF(ISNUMBER(L213),L213+SUM(E214)-SUM(K214),"미산정"))</x:f>
        <x:v>630</x:v>
      </x:c>
      <x:c r="M214" s="98"/>
      <x:c r="N214" s="98"/>
      <x:c r="O214" s="96" t="str">
        <x:f>"105동 / 시스템동바리 조립"&amp;CHAR(10)&amp;IF(D214&lt;='원자료·매핑'!$B$15,"반입 완료(가상)","반입 예정")</x:f>
        <x:v>105동 / 시스템동바리 조립
반입 예정</x:v>
      </x:c>
    </x:row>
    <x:row r="215" ht="40" customHeight="1">
      <x:c r="A215" s="52"/>
      <x:c r="B215" s="45"/>
      <x:c r="C215" s="45"/>
      <x:c r="D215" s="99"/>
      <x:c r="E215" s="100"/>
      <x:c r="F215" s="97"/>
      <x:c r="G215" s="100" t="str">
        <x:f>IF(COUNT(F212:F215)=0,"",SUM(F212:F215))</x:f>
      </x:c>
      <x:c r="H215" s="97"/>
      <x:c r="I215" s="98"/>
      <x:c r="J215" s="99" t="n">
        <x:f>'원자료·매핑'!I133</x:f>
        <x:v>20</x:v>
      </x:c>
      <x:c r="K215" s="100" t="n">
        <x:f>'원자료·매핑'!O133</x:f>
        <x:v>630</x:v>
      </x:c>
      <x:c r="L215" s="100" t="n">
        <x:f>IF(OR(E215="미산정",K215="미산정"),"미산정",IF(ISNUMBER(L214),L214+SUM(E215)-SUM(K215),"미산정"))</x:f>
        <x:v>0</x:v>
      </x:c>
      <x:c r="M215" s="98"/>
      <x:c r="N215" s="98"/>
      <x:c r="O215" s="102" t="str">
        <x:f>"105동 / 시스템동바리 조립"&amp;CHAR(10)&amp;IF('원자료·매핑'!U133=0,"미불출",IF('원자료·매핑'!U133=K215,"전량 불출(가상)","부분 불출 "&amp;TEXT('원자료·매핑'!U133,"#,##0")&amp;" / "&amp;TEXT(K215,"#,##0")&amp;" (가상)"))</x:f>
        <x:v>105동 / 시스템동바리 조립
미불출</x:v>
      </x:c>
    </x:row>
    <x:row r="216" ht="40" customHeight="1">
      <x:c r="A216" s="52"/>
      <x:c r="B216" s="45"/>
      <x:c r="C216" s="45"/>
      <x:c r="D216" s="93" t="n">
        <x:f>'원자료·매핑'!R69</x:f>
        <x:v>29</x:v>
      </x:c>
      <x:c r="E216" s="94" t="n">
        <x:f>'원자료·매핑'!O69</x:f>
        <x:v>588</x:v>
      </x:c>
      <x:c r="F216" s="97"/>
      <x:c r="G216" s="94" t="str">
        <x:f>IF(COUNT(F212:F216)=0,"",SUM(F212:F216))</x:f>
      </x:c>
      <x:c r="H216" s="97"/>
      <x:c r="I216" s="98"/>
      <x:c r="J216" s="93"/>
      <x:c r="K216" s="94"/>
      <x:c r="L216" s="94" t="n">
        <x:f>IF(OR(E216="미산정",K216="미산정"),"미산정",IF(ISNUMBER(L215),L215+SUM(E216)-SUM(K216),"미산정"))</x:f>
        <x:v>588</x:v>
      </x:c>
      <x:c r="M216" s="98"/>
      <x:c r="N216" s="98"/>
      <x:c r="O216" s="96" t="str">
        <x:f>"112동 / 시스템동바리 조립"&amp;CHAR(10)&amp;IF(D216&lt;='원자료·매핑'!$B$15,"반입 완료(가상)","반입 예정")</x:f>
        <x:v>112동 / 시스템동바리 조립
반입 예정</x:v>
      </x:c>
    </x:row>
    <x:row r="217" ht="40" customHeight="1">
      <x:c r="A217" s="52"/>
      <x:c r="B217" s="45"/>
      <x:c r="C217" s="45"/>
      <x:c r="D217" s="99"/>
      <x:c r="E217" s="100"/>
      <x:c r="F217" s="97"/>
      <x:c r="G217" s="100" t="str">
        <x:f>IF(COUNT(F212:F217)=0,"",SUM(F212:F217))</x:f>
      </x:c>
      <x:c r="H217" s="97"/>
      <x:c r="I217" s="98"/>
      <x:c r="J217" s="99" t="n">
        <x:f>'원자료·매핑'!I69</x:f>
        <x:v>30</x:v>
      </x:c>
      <x:c r="K217" s="100" t="n">
        <x:f>'원자료·매핑'!O69</x:f>
        <x:v>588</x:v>
      </x:c>
      <x:c r="L217" s="100" t="n">
        <x:f>IF(OR(E217="미산정",K217="미산정"),"미산정",IF(ISNUMBER(L216),L216+SUM(E217)-SUM(K217),"미산정"))</x:f>
        <x:v>0</x:v>
      </x:c>
      <x:c r="M217" s="98"/>
      <x:c r="N217" s="98"/>
      <x:c r="O217" s="102" t="str">
        <x:f>"112동 / 시스템동바리 조립"&amp;CHAR(10)&amp;IF('원자료·매핑'!U69=0,"미불출",IF('원자료·매핑'!U69=K217,"전량 불출(가상)","부분 불출 "&amp;TEXT('원자료·매핑'!U69,"#,##0")&amp;" / "&amp;TEXT(K217,"#,##0")&amp;" (가상)"))</x:f>
        <x:v>112동 / 시스템동바리 조립
미불출</x:v>
      </x:c>
    </x:row>
    <x:row r="218" ht="40" customHeight="1">
      <x:c r="A218" s="52"/>
      <x:c r="B218" s="45"/>
      <x:c r="C218" s="45"/>
      <x:c r="D218" s="93" t="n">
        <x:f>'원자료·매핑'!R37</x:f>
        <x:v>54</x:v>
      </x:c>
      <x:c r="E218" s="94" t="n">
        <x:f>'원자료·매핑'!O37</x:f>
        <x:v>504</x:v>
      </x:c>
      <x:c r="F218" s="97"/>
      <x:c r="G218" s="94" t="str">
        <x:f>IF(COUNT(F212:F218)=0,"",SUM(F212:F218))</x:f>
      </x:c>
      <x:c r="H218" s="97"/>
      <x:c r="I218" s="98"/>
      <x:c r="J218" s="93"/>
      <x:c r="K218" s="94"/>
      <x:c r="L218" s="94" t="n">
        <x:f>IF(OR(E218="미산정",K218="미산정"),"미산정",IF(ISNUMBER(L217),L217+SUM(E218)-SUM(K218),"미산정"))</x:f>
        <x:v>504</x:v>
      </x:c>
      <x:c r="M218" s="98"/>
      <x:c r="N218" s="98"/>
      <x:c r="O218" s="96" t="str">
        <x:f>"113동 / 시스템동바리 조립"&amp;CHAR(10)&amp;IF(D218&lt;='원자료·매핑'!$B$15,"반입 완료(가상)","반입 예정")</x:f>
        <x:v>113동 / 시스템동바리 조립
반입 예정</x:v>
      </x:c>
    </x:row>
    <x:row r="219" ht="40" customHeight="1">
      <x:c r="A219" s="52"/>
      <x:c r="B219" s="45"/>
      <x:c r="C219" s="45"/>
      <x:c r="D219" s="99"/>
      <x:c r="E219" s="100"/>
      <x:c r="F219" s="97"/>
      <x:c r="G219" s="100" t="str">
        <x:f>IF(COUNT(F212:F219)=0,"",SUM(F212:F219))</x:f>
      </x:c>
      <x:c r="H219" s="97"/>
      <x:c r="I219" s="98"/>
      <x:c r="J219" s="99" t="n">
        <x:f>'원자료·매핑'!I37</x:f>
        <x:v>55</x:v>
      </x:c>
      <x:c r="K219" s="100" t="n">
        <x:f>'원자료·매핑'!O37</x:f>
        <x:v>504</x:v>
      </x:c>
      <x:c r="L219" s="100" t="n">
        <x:f>IF(OR(E219="미산정",K219="미산정"),"미산정",IF(ISNUMBER(L218),L218+SUM(E219)-SUM(K219),"미산정"))</x:f>
        <x:v>0</x:v>
      </x:c>
      <x:c r="M219" s="98"/>
      <x:c r="N219" s="98"/>
      <x:c r="O219" s="102" t="str">
        <x:f>"113동 / 시스템동바리 조립"&amp;CHAR(10)&amp;IF('원자료·매핑'!U37=0,"미불출",IF('원자료·매핑'!U37=K219,"전량 불출(가상)","부분 불출 "&amp;TEXT('원자료·매핑'!U37,"#,##0")&amp;" / "&amp;TEXT(K219,"#,##0")&amp;" (가상)"))</x:f>
        <x:v>113동 / 시스템동바리 조립
미불출</x:v>
      </x:c>
    </x:row>
    <x:row r="220" ht="32" customHeight="1">
      <x:c r="A220" s="53" t="str">
        <x:v>합계 / 최종 계획잔량</x:v>
      </x:c>
      <x:c r="B220" s="49"/>
      <x:c r="C220" s="49"/>
      <x:c r="D220" s="63"/>
      <x:c r="E220" s="64" t="n">
        <x:f>IF(COUNTIFS(E212:E219,"미산정")&gt;0,"미산정",SUM(E212:E219))</x:f>
        <x:v>2268</x:v>
      </x:c>
      <x:c r="F220" s="64" t="str">
        <x:f>IF(COUNT(F212:F219)=0,"",SUM(F212:F219))</x:f>
      </x:c>
      <x:c r="G220" s="64" t="str">
        <x:f>G219</x:f>
      </x:c>
      <x:c r="H220" s="64" t="str">
        <x:f>IF(COUNT(H212:H219)=0,"",SUM(H212:H219))</x:f>
      </x:c>
      <x:c r="I220" s="63"/>
      <x:c r="J220" s="63"/>
      <x:c r="K220" s="64" t="n">
        <x:f>IF(COUNTIFS(K212:K219,"미산정")&gt;0,"미산정",SUM(K212:K219))</x:f>
        <x:v>2268</x:v>
      </x:c>
      <x:c r="L220" s="64" t="n">
        <x:f>L219</x:f>
        <x:v>0</x:v>
      </x:c>
      <x:c r="M220" s="63"/>
      <x:c r="N220" s="63"/>
      <x:c r="O220" s="49"/>
    </x:row>
    <x:row r="221" ht="26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</x:row>
    <x:row r="222" ht="26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</x:row>
    <x:row r="223" ht="34" customHeight="1">
      <x:c r="A223" s="38" t="str">
        <x:v>11. 주요자재 검사 및 수불부</x:v>
      </x:c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</x:row>
    <x:row r="224" ht="28" customHeight="1">
      <x:c r="A224" s="39" t="str">
        <x:v>품명: 시스템서포트 / 동바리 하부자키</x:v>
      </x:c>
      <x:c r="B224" s="39"/>
      <x:c r="C224" s="39"/>
      <x:c r="D224" s="39"/>
      <x:c r="E224" s="39"/>
      <x:c r="F224" s="39"/>
      <x:c r="G224" s="39"/>
      <x:c r="H224" s="39"/>
      <x:c r="I224" s="39"/>
      <x:c r="J224" s="39" t="str">
        <x:v>단위: 개</x:v>
      </x:c>
      <x:c r="K224" s="39"/>
      <x:c r="L224" s="39"/>
      <x:c r="M224" s="39"/>
      <x:c r="N224" s="39"/>
      <x:c r="O224" s="39"/>
    </x:row>
    <x:row r="225" ht="32" customHeight="1">
      <x:c r="A225" s="4" t="str">
        <x:v>반입·불출 수량은 전체 계획. O열에는 기준일 진행 상태를 구분. 사진에서 검사 합격·규격·수량을 확정하지 않음.</x:v>
      </x:c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</x:row>
    <x:row r="226" ht="30" customHeight="1">
      <x:c r="A226" s="92" t="str">
        <x:f>"기준 WD "&amp;'원자료·매핑'!$B$15&amp;"  기반입 "&amp;TEXT(SUMIFS('원자료·매핑'!$T$17:$T$144,'원자료·매핑'!$D$17:$D$144,"BJ-600"),"#,##0")&amp;" / 기불출 "&amp;TEXT(SUMIFS('원자료·매핑'!$U$17:$U$144,'원자료·매핑'!$D$17:$D$144,"BJ-600"),"#,##0")&amp;" / 현재 야적 "&amp;TEXT(SUMIFS('원자료·매핑'!$V$17:$V$144,'원자료·매핑'!$D$17:$D$144,"BJ-600"),"#,##0")&amp;" (가상)"</x:f>
        <x:v>기준 WD 10  기반입 546 / 기불출 0 / 현재 야적 546 (가상)</x:v>
      </x:c>
      <x:c r="B226" s="92"/>
      <x:c r="C226" s="92"/>
      <x:c r="D226" s="92"/>
      <x:c r="E226" s="92"/>
      <x:c r="F226" s="92"/>
      <x:c r="G226" s="92"/>
      <x:c r="H226" s="92"/>
      <x:c r="I226" s="92"/>
      <x:c r="J226" s="92"/>
      <x:c r="K226" s="92"/>
      <x:c r="L226" s="92"/>
      <x:c r="M226" s="92"/>
      <x:c r="N226" s="92"/>
      <x:c r="O226" s="92"/>
    </x:row>
    <x:row r="227" ht="27" customHeight="1">
      <x:c r="A227" s="44" t="str">
        <x:v>계획량
(가상)</x:v>
      </x:c>
      <x:c r="B227" s="44" t="str">
        <x:v>단위</x:v>
      </x:c>
      <x:c r="C227" s="44" t="str">
        <x:v>규격</x:v>
      </x:c>
      <x:c r="D227" s="44" t="str">
        <x:v>반입일
(적용 WD)</x:v>
      </x:c>
      <x:c r="E227" s="44" t="str">
        <x:v>반입량
(계획)</x:v>
      </x:c>
      <x:c r="F227" s="44" t="str">
        <x:v>합격량</x:v>
      </x:c>
      <x:c r="G227" s="44"/>
      <x:c r="H227" s="44" t="str">
        <x:v>불합격</x:v>
      </x:c>
      <x:c r="I227" s="44"/>
      <x:c r="J227" s="44" t="str">
        <x:v>출고일
(예정 WD)</x:v>
      </x:c>
      <x:c r="K227" s="44" t="str">
        <x:v>출고량
(계획)</x:v>
      </x:c>
      <x:c r="L227" s="44" t="str">
        <x:v>계획잔량</x:v>
      </x:c>
      <x:c r="M227" s="44" t="str">
        <x:v>검사자</x:v>
      </x:c>
      <x:c r="N227" s="44" t="str">
        <x:v>서명</x:v>
      </x:c>
      <x:c r="O227" s="44" t="str">
        <x:v>사용동 · 공정</x:v>
      </x:c>
    </x:row>
    <x:row r="228" ht="27" customHeight="1">
      <x:c r="A228" s="44"/>
      <x:c r="B228" s="44"/>
      <x:c r="C228" s="44"/>
      <x:c r="D228" s="44"/>
      <x:c r="E228" s="44"/>
      <x:c r="F228" s="44" t="str">
        <x:v>금회</x:v>
      </x:c>
      <x:c r="G228" s="44" t="str">
        <x:v>누계</x:v>
      </x:c>
      <x:c r="H228" s="44" t="str">
        <x:v>수량</x:v>
      </x:c>
      <x:c r="I228" s="44" t="str">
        <x:v>사유</x:v>
      </x:c>
      <x:c r="J228" s="44"/>
      <x:c r="K228" s="44"/>
      <x:c r="L228" s="44"/>
      <x:c r="M228" s="44"/>
      <x:c r="N228" s="44"/>
      <x:c r="O228" s="44"/>
    </x:row>
    <x:row r="229" ht="40" customHeight="1">
      <x:c r="A229" s="52" t="n">
        <x:f>IF(COUNTIFS('원자료·매핑'!$D$17:$D$144,"BJ-600",'원자료·매핑'!$O$17:$O$144,"미산정")&gt;0,"미산정",SUMIFS('원자료·매핑'!$O$17:$O$144,'원자료·매핑'!$D$17:$D$144,"BJ-600"))</x:f>
        <x:v>2268</x:v>
      </x:c>
      <x:c r="B229" s="45" t="str">
        <x:v>개</x:v>
      </x:c>
      <x:c r="C229" s="45" t="str">
        <x:v>동바리 하부자키
Ø45 / L=600mm</x:v>
      </x:c>
      <x:c r="D229" s="93" t="n">
        <x:f>'원자료·매핑'!R102</x:f>
        <x:v>9</x:v>
      </x:c>
      <x:c r="E229" s="94" t="n">
        <x:f>'원자료·매핑'!O102</x:f>
        <x:v>546</x:v>
      </x:c>
      <x:c r="F229" s="97"/>
      <x:c r="G229" s="94" t="str">
        <x:f>IF(COUNT(F229:F229)=0,"",SUM(F229:F229))</x:f>
      </x:c>
      <x:c r="H229" s="97"/>
      <x:c r="I229" s="98"/>
      <x:c r="J229" s="93"/>
      <x:c r="K229" s="94"/>
      <x:c r="L229" s="94" t="n">
        <x:f>IF(OR(E229="미산정",K229="미산정"),"미산정",IF(ISNUMBER('원자료·매핑'!$B$9),'원자료·매핑'!$B$9+SUM(E229)-SUM(K229),"미산정"))</x:f>
        <x:v>546</x:v>
      </x:c>
      <x:c r="M229" s="98"/>
      <x:c r="N229" s="98"/>
      <x:c r="O229" s="96" t="str">
        <x:f>"104동 / 시스템동바리 조립"&amp;CHAR(10)&amp;IF(D229&lt;='원자료·매핑'!$B$15,"반입 완료(가상)","반입 예정")</x:f>
        <x:v>104동 / 시스템동바리 조립
반입 완료(가상)</x:v>
      </x:c>
    </x:row>
    <x:row r="230" ht="40" customHeight="1">
      <x:c r="A230" s="52"/>
      <x:c r="B230" s="45"/>
      <x:c r="C230" s="45"/>
      <x:c r="D230" s="99"/>
      <x:c r="E230" s="100"/>
      <x:c r="F230" s="97"/>
      <x:c r="G230" s="100" t="str">
        <x:f>IF(COUNT(F229:F230)=0,"",SUM(F229:F230))</x:f>
      </x:c>
      <x:c r="H230" s="97"/>
      <x:c r="I230" s="98"/>
      <x:c r="J230" s="99" t="n">
        <x:f>'원자료·매핑'!I102</x:f>
        <x:v>15</x:v>
      </x:c>
      <x:c r="K230" s="100" t="n">
        <x:f>'원자료·매핑'!O102</x:f>
        <x:v>546</x:v>
      </x:c>
      <x:c r="L230" s="100" t="n">
        <x:f>IF(OR(E230="미산정",K230="미산정"),"미산정",IF(ISNUMBER(L229),L229+SUM(E230)-SUM(K230),"미산정"))</x:f>
        <x:v>0</x:v>
      </x:c>
      <x:c r="M230" s="98"/>
      <x:c r="N230" s="98"/>
      <x:c r="O230" s="102" t="str">
        <x:f>"104동 / 시스템동바리 조립"&amp;CHAR(10)&amp;IF('원자료·매핑'!U102=0,"미불출",IF('원자료·매핑'!U102=K230,"전량 불출(가상)","부분 불출 "&amp;TEXT('원자료·매핑'!U102,"#,##0")&amp;" / "&amp;TEXT(K230,"#,##0")&amp;" (가상)"))</x:f>
        <x:v>104동 / 시스템동바리 조립
미불출</x:v>
      </x:c>
    </x:row>
    <x:row r="231" ht="40" customHeight="1">
      <x:c r="A231" s="52"/>
      <x:c r="B231" s="45"/>
      <x:c r="C231" s="45"/>
      <x:c r="D231" s="93" t="n">
        <x:f>'원자료·매핑'!R134</x:f>
        <x:v>19</x:v>
      </x:c>
      <x:c r="E231" s="94" t="n">
        <x:f>'원자료·매핑'!O134</x:f>
        <x:v>630</x:v>
      </x:c>
      <x:c r="F231" s="97"/>
      <x:c r="G231" s="94" t="str">
        <x:f>IF(COUNT(F229:F231)=0,"",SUM(F229:F231))</x:f>
      </x:c>
      <x:c r="H231" s="97"/>
      <x:c r="I231" s="98"/>
      <x:c r="J231" s="93"/>
      <x:c r="K231" s="94"/>
      <x:c r="L231" s="94" t="n">
        <x:f>IF(OR(E231="미산정",K231="미산정"),"미산정",IF(ISNUMBER(L230),L230+SUM(E231)-SUM(K231),"미산정"))</x:f>
        <x:v>630</x:v>
      </x:c>
      <x:c r="M231" s="98"/>
      <x:c r="N231" s="98"/>
      <x:c r="O231" s="96" t="str">
        <x:f>"105동 / 시스템동바리 조립"&amp;CHAR(10)&amp;IF(D231&lt;='원자료·매핑'!$B$15,"반입 완료(가상)","반입 예정")</x:f>
        <x:v>105동 / 시스템동바리 조립
반입 예정</x:v>
      </x:c>
    </x:row>
    <x:row r="232" ht="40" customHeight="1">
      <x:c r="A232" s="52"/>
      <x:c r="B232" s="45"/>
      <x:c r="C232" s="45"/>
      <x:c r="D232" s="99"/>
      <x:c r="E232" s="100"/>
      <x:c r="F232" s="97"/>
      <x:c r="G232" s="100" t="str">
        <x:f>IF(COUNT(F229:F232)=0,"",SUM(F229:F232))</x:f>
      </x:c>
      <x:c r="H232" s="97"/>
      <x:c r="I232" s="98"/>
      <x:c r="J232" s="99" t="n">
        <x:f>'원자료·매핑'!I134</x:f>
        <x:v>20</x:v>
      </x:c>
      <x:c r="K232" s="100" t="n">
        <x:f>'원자료·매핑'!O134</x:f>
        <x:v>630</x:v>
      </x:c>
      <x:c r="L232" s="100" t="n">
        <x:f>IF(OR(E232="미산정",K232="미산정"),"미산정",IF(ISNUMBER(L231),L231+SUM(E232)-SUM(K232),"미산정"))</x:f>
        <x:v>0</x:v>
      </x:c>
      <x:c r="M232" s="98"/>
      <x:c r="N232" s="98"/>
      <x:c r="O232" s="102" t="str">
        <x:f>"105동 / 시스템동바리 조립"&amp;CHAR(10)&amp;IF('원자료·매핑'!U134=0,"미불출",IF('원자료·매핑'!U134=K232,"전량 불출(가상)","부분 불출 "&amp;TEXT('원자료·매핑'!U134,"#,##0")&amp;" / "&amp;TEXT(K232,"#,##0")&amp;" (가상)"))</x:f>
        <x:v>105동 / 시스템동바리 조립
미불출</x:v>
      </x:c>
    </x:row>
    <x:row r="233" ht="40" customHeight="1">
      <x:c r="A233" s="52"/>
      <x:c r="B233" s="45"/>
      <x:c r="C233" s="45"/>
      <x:c r="D233" s="93" t="n">
        <x:f>'원자료·매핑'!R70</x:f>
        <x:v>29</x:v>
      </x:c>
      <x:c r="E233" s="94" t="n">
        <x:f>'원자료·매핑'!O70</x:f>
        <x:v>588</x:v>
      </x:c>
      <x:c r="F233" s="97"/>
      <x:c r="G233" s="94" t="str">
        <x:f>IF(COUNT(F229:F233)=0,"",SUM(F229:F233))</x:f>
      </x:c>
      <x:c r="H233" s="97"/>
      <x:c r="I233" s="98"/>
      <x:c r="J233" s="93"/>
      <x:c r="K233" s="94"/>
      <x:c r="L233" s="94" t="n">
        <x:f>IF(OR(E233="미산정",K233="미산정"),"미산정",IF(ISNUMBER(L232),L232+SUM(E233)-SUM(K233),"미산정"))</x:f>
        <x:v>588</x:v>
      </x:c>
      <x:c r="M233" s="98"/>
      <x:c r="N233" s="98"/>
      <x:c r="O233" s="96" t="str">
        <x:f>"112동 / 시스템동바리 조립"&amp;CHAR(10)&amp;IF(D233&lt;='원자료·매핑'!$B$15,"반입 완료(가상)","반입 예정")</x:f>
        <x:v>112동 / 시스템동바리 조립
반입 예정</x:v>
      </x:c>
    </x:row>
    <x:row r="234" ht="40" customHeight="1">
      <x:c r="A234" s="52"/>
      <x:c r="B234" s="45"/>
      <x:c r="C234" s="45"/>
      <x:c r="D234" s="99"/>
      <x:c r="E234" s="100"/>
      <x:c r="F234" s="97"/>
      <x:c r="G234" s="100" t="str">
        <x:f>IF(COUNT(F229:F234)=0,"",SUM(F229:F234))</x:f>
      </x:c>
      <x:c r="H234" s="97"/>
      <x:c r="I234" s="98"/>
      <x:c r="J234" s="99" t="n">
        <x:f>'원자료·매핑'!I70</x:f>
        <x:v>30</x:v>
      </x:c>
      <x:c r="K234" s="100" t="n">
        <x:f>'원자료·매핑'!O70</x:f>
        <x:v>588</x:v>
      </x:c>
      <x:c r="L234" s="100" t="n">
        <x:f>IF(OR(E234="미산정",K234="미산정"),"미산정",IF(ISNUMBER(L233),L233+SUM(E234)-SUM(K234),"미산정"))</x:f>
        <x:v>0</x:v>
      </x:c>
      <x:c r="M234" s="98"/>
      <x:c r="N234" s="98"/>
      <x:c r="O234" s="102" t="str">
        <x:f>"112동 / 시스템동바리 조립"&amp;CHAR(10)&amp;IF('원자료·매핑'!U70=0,"미불출",IF('원자료·매핑'!U70=K234,"전량 불출(가상)","부분 불출 "&amp;TEXT('원자료·매핑'!U70,"#,##0")&amp;" / "&amp;TEXT(K234,"#,##0")&amp;" (가상)"))</x:f>
        <x:v>112동 / 시스템동바리 조립
미불출</x:v>
      </x:c>
    </x:row>
    <x:row r="235" ht="40" customHeight="1">
      <x:c r="A235" s="52"/>
      <x:c r="B235" s="45"/>
      <x:c r="C235" s="45"/>
      <x:c r="D235" s="93" t="n">
        <x:f>'원자료·매핑'!R38</x:f>
        <x:v>54</x:v>
      </x:c>
      <x:c r="E235" s="94" t="n">
        <x:f>'원자료·매핑'!O38</x:f>
        <x:v>504</x:v>
      </x:c>
      <x:c r="F235" s="97"/>
      <x:c r="G235" s="94" t="str">
        <x:f>IF(COUNT(F229:F235)=0,"",SUM(F229:F235))</x:f>
      </x:c>
      <x:c r="H235" s="97"/>
      <x:c r="I235" s="98"/>
      <x:c r="J235" s="93"/>
      <x:c r="K235" s="94"/>
      <x:c r="L235" s="94" t="n">
        <x:f>IF(OR(E235="미산정",K235="미산정"),"미산정",IF(ISNUMBER(L234),L234+SUM(E235)-SUM(K235),"미산정"))</x:f>
        <x:v>504</x:v>
      </x:c>
      <x:c r="M235" s="98"/>
      <x:c r="N235" s="98"/>
      <x:c r="O235" s="96" t="str">
        <x:f>"113동 / 시스템동바리 조립"&amp;CHAR(10)&amp;IF(D235&lt;='원자료·매핑'!$B$15,"반입 완료(가상)","반입 예정")</x:f>
        <x:v>113동 / 시스템동바리 조립
반입 예정</x:v>
      </x:c>
    </x:row>
    <x:row r="236" ht="40" customHeight="1">
      <x:c r="A236" s="52"/>
      <x:c r="B236" s="45"/>
      <x:c r="C236" s="45"/>
      <x:c r="D236" s="99"/>
      <x:c r="E236" s="100"/>
      <x:c r="F236" s="97"/>
      <x:c r="G236" s="100" t="str">
        <x:f>IF(COUNT(F229:F236)=0,"",SUM(F229:F236))</x:f>
      </x:c>
      <x:c r="H236" s="97"/>
      <x:c r="I236" s="98"/>
      <x:c r="J236" s="99" t="n">
        <x:f>'원자료·매핑'!I38</x:f>
        <x:v>55</x:v>
      </x:c>
      <x:c r="K236" s="100" t="n">
        <x:f>'원자료·매핑'!O38</x:f>
        <x:v>504</x:v>
      </x:c>
      <x:c r="L236" s="100" t="n">
        <x:f>IF(OR(E236="미산정",K236="미산정"),"미산정",IF(ISNUMBER(L235),L235+SUM(E236)-SUM(K236),"미산정"))</x:f>
        <x:v>0</x:v>
      </x:c>
      <x:c r="M236" s="98"/>
      <x:c r="N236" s="98"/>
      <x:c r="O236" s="102" t="str">
        <x:f>"113동 / 시스템동바리 조립"&amp;CHAR(10)&amp;IF('원자료·매핑'!U38=0,"미불출",IF('원자료·매핑'!U38=K236,"전량 불출(가상)","부분 불출 "&amp;TEXT('원자료·매핑'!U38,"#,##0")&amp;" / "&amp;TEXT(K236,"#,##0")&amp;" (가상)"))</x:f>
        <x:v>113동 / 시스템동바리 조립
미불출</x:v>
      </x:c>
    </x:row>
    <x:row r="237" ht="32" customHeight="1">
      <x:c r="A237" s="53" t="str">
        <x:v>합계 / 최종 계획잔량</x:v>
      </x:c>
      <x:c r="B237" s="49"/>
      <x:c r="C237" s="49"/>
      <x:c r="D237" s="63"/>
      <x:c r="E237" s="64" t="n">
        <x:f>IF(COUNTIFS(E229:E236,"미산정")&gt;0,"미산정",SUM(E229:E236))</x:f>
        <x:v>2268</x:v>
      </x:c>
      <x:c r="F237" s="64" t="str">
        <x:f>IF(COUNT(F229:F236)=0,"",SUM(F229:F236))</x:f>
      </x:c>
      <x:c r="G237" s="64" t="str">
        <x:f>G236</x:f>
      </x:c>
      <x:c r="H237" s="64" t="str">
        <x:f>IF(COUNT(H229:H236)=0,"",SUM(H229:H236))</x:f>
      </x:c>
      <x:c r="I237" s="63"/>
      <x:c r="J237" s="63"/>
      <x:c r="K237" s="64" t="n">
        <x:f>IF(COUNTIFS(K229:K236,"미산정")&gt;0,"미산정",SUM(K229:K236))</x:f>
        <x:v>2268</x:v>
      </x:c>
      <x:c r="L237" s="64" t="n">
        <x:f>L236</x:f>
        <x:v>0</x:v>
      </x:c>
      <x:c r="M237" s="63"/>
      <x:c r="N237" s="63"/>
      <x:c r="O237" s="49"/>
    </x:row>
    <x:row r="238" ht="26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</x:row>
    <x:row r="239" ht="26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</x:row>
    <x:row r="240" ht="34" customHeight="1">
      <x:c r="A240" s="38" t="str">
        <x:v>12. 주요자재 검사 및 수불부</x:v>
      </x:c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</x:row>
    <x:row r="241" ht="28" customHeight="1">
      <x:c r="A241" s="39" t="str">
        <x:v>품명: 시스템서포트 / 카플링(소켓)</x:v>
      </x:c>
      <x:c r="B241" s="39"/>
      <x:c r="C241" s="39"/>
      <x:c r="D241" s="39"/>
      <x:c r="E241" s="39"/>
      <x:c r="F241" s="39"/>
      <x:c r="G241" s="39"/>
      <x:c r="H241" s="39"/>
      <x:c r="I241" s="39"/>
      <x:c r="J241" s="39" t="str">
        <x:v>단위: 개</x:v>
      </x:c>
      <x:c r="K241" s="39"/>
      <x:c r="L241" s="39"/>
      <x:c r="M241" s="39"/>
      <x:c r="N241" s="39"/>
      <x:c r="O241" s="39"/>
    </x:row>
    <x:row r="242" ht="32" customHeight="1">
      <x:c r="A242" s="4" t="str">
        <x:v>반입·불출 수량은 전체 계획. O열에는 기준일 진행 상태를 구분. 사진에서 검사 합격·규격·수량을 확정하지 않음.</x:v>
      </x:c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</x:row>
    <x:row r="243" ht="30" customHeight="1">
      <x:c r="A243" s="92" t="str">
        <x:f>"기준 WD "&amp;'원자료·매핑'!$B$15&amp;"  기반입 "&amp;TEXT(SUMIFS('원자료·매핑'!$T$17:$T$144,'원자료·매핑'!$D$17:$D$144,"CP-120"),"#,##0")&amp;" / 기불출 "&amp;TEXT(SUMIFS('원자료·매핑'!$U$17:$U$144,'원자료·매핑'!$D$17:$D$144,"CP-120"),"#,##0")&amp;" / 현재 야적 "&amp;TEXT(SUMIFS('원자료·매핑'!$V$17:$V$144,'원자료·매핑'!$D$17:$D$144,"CP-120"),"#,##0")&amp;" (가상)"</x:f>
        <x:v>기준 WD 10  기반입 1,092 / 기불출 0 / 현재 야적 1,092 (가상)</x:v>
      </x:c>
      <x:c r="B243" s="92"/>
      <x:c r="C243" s="92"/>
      <x:c r="D243" s="92"/>
      <x:c r="E243" s="92"/>
      <x:c r="F243" s="92"/>
      <x:c r="G243" s="92"/>
      <x:c r="H243" s="92"/>
      <x:c r="I243" s="92"/>
      <x:c r="J243" s="92"/>
      <x:c r="K243" s="92"/>
      <x:c r="L243" s="92"/>
      <x:c r="M243" s="92"/>
      <x:c r="N243" s="92"/>
      <x:c r="O243" s="92"/>
    </x:row>
    <x:row r="244" ht="27" customHeight="1">
      <x:c r="A244" s="44" t="str">
        <x:v>계획량
(가상)</x:v>
      </x:c>
      <x:c r="B244" s="44" t="str">
        <x:v>단위</x:v>
      </x:c>
      <x:c r="C244" s="44" t="str">
        <x:v>규격</x:v>
      </x:c>
      <x:c r="D244" s="44" t="str">
        <x:v>반입일
(적용 WD)</x:v>
      </x:c>
      <x:c r="E244" s="44" t="str">
        <x:v>반입량
(계획)</x:v>
      </x:c>
      <x:c r="F244" s="44" t="str">
        <x:v>합격량</x:v>
      </x:c>
      <x:c r="G244" s="44"/>
      <x:c r="H244" s="44" t="str">
        <x:v>불합격</x:v>
      </x:c>
      <x:c r="I244" s="44"/>
      <x:c r="J244" s="44" t="str">
        <x:v>출고일
(예정 WD)</x:v>
      </x:c>
      <x:c r="K244" s="44" t="str">
        <x:v>출고량
(계획)</x:v>
      </x:c>
      <x:c r="L244" s="44" t="str">
        <x:v>계획잔량</x:v>
      </x:c>
      <x:c r="M244" s="44" t="str">
        <x:v>검사자</x:v>
      </x:c>
      <x:c r="N244" s="44" t="str">
        <x:v>서명</x:v>
      </x:c>
      <x:c r="O244" s="44" t="str">
        <x:v>사용동 · 공정</x:v>
      </x:c>
    </x:row>
    <x:row r="245" ht="27" customHeight="1">
      <x:c r="A245" s="44"/>
      <x:c r="B245" s="44"/>
      <x:c r="C245" s="44"/>
      <x:c r="D245" s="44"/>
      <x:c r="E245" s="44"/>
      <x:c r="F245" s="44" t="str">
        <x:v>금회</x:v>
      </x:c>
      <x:c r="G245" s="44" t="str">
        <x:v>누계</x:v>
      </x:c>
      <x:c r="H245" s="44" t="str">
        <x:v>수량</x:v>
      </x:c>
      <x:c r="I245" s="44" t="str">
        <x:v>사유</x:v>
      </x:c>
      <x:c r="J245" s="44"/>
      <x:c r="K245" s="44"/>
      <x:c r="L245" s="44"/>
      <x:c r="M245" s="44"/>
      <x:c r="N245" s="44"/>
      <x:c r="O245" s="44"/>
    </x:row>
    <x:row r="246" ht="40" customHeight="1">
      <x:c r="A246" s="52" t="n">
        <x:f>IF(COUNTIFS('원자료·매핑'!$D$17:$D$144,"CP-120",'원자료·매핑'!$O$17:$O$144,"미산정")&gt;0,"미산정",SUMIFS('원자료·매핑'!$O$17:$O$144,'원자료·매핑'!$D$17:$D$144,"CP-120"))</x:f>
        <x:v>4536</x:v>
      </x:c>
      <x:c r="B246" s="45" t="str">
        <x:v>개</x:v>
      </x:c>
      <x:c r="C246" s="45" t="str">
        <x:v>카플링(소켓)
Ø60.5 / L=120mm</x:v>
      </x:c>
      <x:c r="D246" s="93" t="n">
        <x:f>'원자료·매핑'!R103</x:f>
        <x:v>9</x:v>
      </x:c>
      <x:c r="E246" s="94" t="n">
        <x:f>'원자료·매핑'!O103</x:f>
        <x:v>1092</x:v>
      </x:c>
      <x:c r="F246" s="97"/>
      <x:c r="G246" s="94" t="str">
        <x:f>IF(COUNT(F246:F246)=0,"",SUM(F246:F246))</x:f>
      </x:c>
      <x:c r="H246" s="97"/>
      <x:c r="I246" s="98"/>
      <x:c r="J246" s="93"/>
      <x:c r="K246" s="94"/>
      <x:c r="L246" s="94" t="n">
        <x:f>IF(OR(E246="미산정",K246="미산정"),"미산정",IF(ISNUMBER('원자료·매핑'!$B$9),'원자료·매핑'!$B$9+SUM(E246)-SUM(K246),"미산정"))</x:f>
        <x:v>1092</x:v>
      </x:c>
      <x:c r="M246" s="98"/>
      <x:c r="N246" s="98"/>
      <x:c r="O246" s="96" t="str">
        <x:f>"104동 / 시스템동바리 조립"&amp;CHAR(10)&amp;IF(D246&lt;='원자료·매핑'!$B$15,"반입 완료(가상)","반입 예정")</x:f>
        <x:v>104동 / 시스템동바리 조립
반입 완료(가상)</x:v>
      </x:c>
    </x:row>
    <x:row r="247" ht="40" customHeight="1">
      <x:c r="A247" s="52"/>
      <x:c r="B247" s="45"/>
      <x:c r="C247" s="45"/>
      <x:c r="D247" s="99"/>
      <x:c r="E247" s="100"/>
      <x:c r="F247" s="97"/>
      <x:c r="G247" s="100" t="str">
        <x:f>IF(COUNT(F246:F247)=0,"",SUM(F246:F247))</x:f>
      </x:c>
      <x:c r="H247" s="97"/>
      <x:c r="I247" s="98"/>
      <x:c r="J247" s="99" t="n">
        <x:f>'원자료·매핑'!I103</x:f>
        <x:v>15</x:v>
      </x:c>
      <x:c r="K247" s="100" t="n">
        <x:f>'원자료·매핑'!O103</x:f>
        <x:v>1092</x:v>
      </x:c>
      <x:c r="L247" s="100" t="n">
        <x:f>IF(OR(E247="미산정",K247="미산정"),"미산정",IF(ISNUMBER(L246),L246+SUM(E247)-SUM(K247),"미산정"))</x:f>
        <x:v>0</x:v>
      </x:c>
      <x:c r="M247" s="98"/>
      <x:c r="N247" s="98"/>
      <x:c r="O247" s="102" t="str">
        <x:f>"104동 / 시스템동바리 조립"&amp;CHAR(10)&amp;IF('원자료·매핑'!U103=0,"미불출",IF('원자료·매핑'!U103=K247,"전량 불출(가상)","부분 불출 "&amp;TEXT('원자료·매핑'!U103,"#,##0")&amp;" / "&amp;TEXT(K247,"#,##0")&amp;" (가상)"))</x:f>
        <x:v>104동 / 시스템동바리 조립
미불출</x:v>
      </x:c>
    </x:row>
    <x:row r="248" ht="40" customHeight="1">
      <x:c r="A248" s="52"/>
      <x:c r="B248" s="45"/>
      <x:c r="C248" s="45"/>
      <x:c r="D248" s="93" t="n">
        <x:f>'원자료·매핑'!R135</x:f>
        <x:v>19</x:v>
      </x:c>
      <x:c r="E248" s="94" t="n">
        <x:f>'원자료·매핑'!O135</x:f>
        <x:v>1260</x:v>
      </x:c>
      <x:c r="F248" s="97"/>
      <x:c r="G248" s="94" t="str">
        <x:f>IF(COUNT(F246:F248)=0,"",SUM(F246:F248))</x:f>
      </x:c>
      <x:c r="H248" s="97"/>
      <x:c r="I248" s="98"/>
      <x:c r="J248" s="93"/>
      <x:c r="K248" s="94"/>
      <x:c r="L248" s="94" t="n">
        <x:f>IF(OR(E248="미산정",K248="미산정"),"미산정",IF(ISNUMBER(L247),L247+SUM(E248)-SUM(K248),"미산정"))</x:f>
        <x:v>1260</x:v>
      </x:c>
      <x:c r="M248" s="98"/>
      <x:c r="N248" s="98"/>
      <x:c r="O248" s="96" t="str">
        <x:f>"105동 / 시스템동바리 조립"&amp;CHAR(10)&amp;IF(D248&lt;='원자료·매핑'!$B$15,"반입 완료(가상)","반입 예정")</x:f>
        <x:v>105동 / 시스템동바리 조립
반입 예정</x:v>
      </x:c>
    </x:row>
    <x:row r="249" ht="40" customHeight="1">
      <x:c r="A249" s="52"/>
      <x:c r="B249" s="45"/>
      <x:c r="C249" s="45"/>
      <x:c r="D249" s="99"/>
      <x:c r="E249" s="100"/>
      <x:c r="F249" s="97"/>
      <x:c r="G249" s="100" t="str">
        <x:f>IF(COUNT(F246:F249)=0,"",SUM(F246:F249))</x:f>
      </x:c>
      <x:c r="H249" s="97"/>
      <x:c r="I249" s="98"/>
      <x:c r="J249" s="99" t="n">
        <x:f>'원자료·매핑'!I135</x:f>
        <x:v>20</x:v>
      </x:c>
      <x:c r="K249" s="100" t="n">
        <x:f>'원자료·매핑'!O135</x:f>
        <x:v>1260</x:v>
      </x:c>
      <x:c r="L249" s="100" t="n">
        <x:f>IF(OR(E249="미산정",K249="미산정"),"미산정",IF(ISNUMBER(L248),L248+SUM(E249)-SUM(K249),"미산정"))</x:f>
        <x:v>0</x:v>
      </x:c>
      <x:c r="M249" s="98"/>
      <x:c r="N249" s="98"/>
      <x:c r="O249" s="102" t="str">
        <x:f>"105동 / 시스템동바리 조립"&amp;CHAR(10)&amp;IF('원자료·매핑'!U135=0,"미불출",IF('원자료·매핑'!U135=K249,"전량 불출(가상)","부분 불출 "&amp;TEXT('원자료·매핑'!U135,"#,##0")&amp;" / "&amp;TEXT(K249,"#,##0")&amp;" (가상)"))</x:f>
        <x:v>105동 / 시스템동바리 조립
미불출</x:v>
      </x:c>
    </x:row>
    <x:row r="250" ht="40" customHeight="1">
      <x:c r="A250" s="52"/>
      <x:c r="B250" s="45"/>
      <x:c r="C250" s="45"/>
      <x:c r="D250" s="93" t="n">
        <x:f>'원자료·매핑'!R71</x:f>
        <x:v>29</x:v>
      </x:c>
      <x:c r="E250" s="94" t="n">
        <x:f>'원자료·매핑'!O71</x:f>
        <x:v>1176</x:v>
      </x:c>
      <x:c r="F250" s="97"/>
      <x:c r="G250" s="94" t="str">
        <x:f>IF(COUNT(F246:F250)=0,"",SUM(F246:F250))</x:f>
      </x:c>
      <x:c r="H250" s="97"/>
      <x:c r="I250" s="98"/>
      <x:c r="J250" s="93"/>
      <x:c r="K250" s="94"/>
      <x:c r="L250" s="94" t="n">
        <x:f>IF(OR(E250="미산정",K250="미산정"),"미산정",IF(ISNUMBER(L249),L249+SUM(E250)-SUM(K250),"미산정"))</x:f>
        <x:v>1176</x:v>
      </x:c>
      <x:c r="M250" s="98"/>
      <x:c r="N250" s="98"/>
      <x:c r="O250" s="96" t="str">
        <x:f>"112동 / 시스템동바리 조립"&amp;CHAR(10)&amp;IF(D250&lt;='원자료·매핑'!$B$15,"반입 완료(가상)","반입 예정")</x:f>
        <x:v>112동 / 시스템동바리 조립
반입 예정</x:v>
      </x:c>
    </x:row>
    <x:row r="251" ht="40" customHeight="1">
      <x:c r="A251" s="52"/>
      <x:c r="B251" s="45"/>
      <x:c r="C251" s="45"/>
      <x:c r="D251" s="99"/>
      <x:c r="E251" s="100"/>
      <x:c r="F251" s="97"/>
      <x:c r="G251" s="100" t="str">
        <x:f>IF(COUNT(F246:F251)=0,"",SUM(F246:F251))</x:f>
      </x:c>
      <x:c r="H251" s="97"/>
      <x:c r="I251" s="98"/>
      <x:c r="J251" s="99" t="n">
        <x:f>'원자료·매핑'!I71</x:f>
        <x:v>30</x:v>
      </x:c>
      <x:c r="K251" s="100" t="n">
        <x:f>'원자료·매핑'!O71</x:f>
        <x:v>1176</x:v>
      </x:c>
      <x:c r="L251" s="100" t="n">
        <x:f>IF(OR(E251="미산정",K251="미산정"),"미산정",IF(ISNUMBER(L250),L250+SUM(E251)-SUM(K251),"미산정"))</x:f>
        <x:v>0</x:v>
      </x:c>
      <x:c r="M251" s="98"/>
      <x:c r="N251" s="98"/>
      <x:c r="O251" s="102" t="str">
        <x:f>"112동 / 시스템동바리 조립"&amp;CHAR(10)&amp;IF('원자료·매핑'!U71=0,"미불출",IF('원자료·매핑'!U71=K251,"전량 불출(가상)","부분 불출 "&amp;TEXT('원자료·매핑'!U71,"#,##0")&amp;" / "&amp;TEXT(K251,"#,##0")&amp;" (가상)"))</x:f>
        <x:v>112동 / 시스템동바리 조립
미불출</x:v>
      </x:c>
    </x:row>
    <x:row r="252" ht="40" customHeight="1">
      <x:c r="A252" s="52"/>
      <x:c r="B252" s="45"/>
      <x:c r="C252" s="45"/>
      <x:c r="D252" s="93" t="n">
        <x:f>'원자료·매핑'!R39</x:f>
        <x:v>54</x:v>
      </x:c>
      <x:c r="E252" s="94" t="n">
        <x:f>'원자료·매핑'!O39</x:f>
        <x:v>1008</x:v>
      </x:c>
      <x:c r="F252" s="97"/>
      <x:c r="G252" s="94" t="str">
        <x:f>IF(COUNT(F246:F252)=0,"",SUM(F246:F252))</x:f>
      </x:c>
      <x:c r="H252" s="97"/>
      <x:c r="I252" s="98"/>
      <x:c r="J252" s="93"/>
      <x:c r="K252" s="94"/>
      <x:c r="L252" s="94" t="n">
        <x:f>IF(OR(E252="미산정",K252="미산정"),"미산정",IF(ISNUMBER(L251),L251+SUM(E252)-SUM(K252),"미산정"))</x:f>
        <x:v>1008</x:v>
      </x:c>
      <x:c r="M252" s="98"/>
      <x:c r="N252" s="98"/>
      <x:c r="O252" s="96" t="str">
        <x:f>"113동 / 시스템동바리 조립"&amp;CHAR(10)&amp;IF(D252&lt;='원자료·매핑'!$B$15,"반입 완료(가상)","반입 예정")</x:f>
        <x:v>113동 / 시스템동바리 조립
반입 예정</x:v>
      </x:c>
    </x:row>
    <x:row r="253" ht="40" customHeight="1">
      <x:c r="A253" s="52"/>
      <x:c r="B253" s="45"/>
      <x:c r="C253" s="45"/>
      <x:c r="D253" s="99"/>
      <x:c r="E253" s="100"/>
      <x:c r="F253" s="97"/>
      <x:c r="G253" s="100" t="str">
        <x:f>IF(COUNT(F246:F253)=0,"",SUM(F246:F253))</x:f>
      </x:c>
      <x:c r="H253" s="97"/>
      <x:c r="I253" s="98"/>
      <x:c r="J253" s="99" t="n">
        <x:f>'원자료·매핑'!I39</x:f>
        <x:v>55</x:v>
      </x:c>
      <x:c r="K253" s="100" t="n">
        <x:f>'원자료·매핑'!O39</x:f>
        <x:v>1008</x:v>
      </x:c>
      <x:c r="L253" s="100" t="n">
        <x:f>IF(OR(E253="미산정",K253="미산정"),"미산정",IF(ISNUMBER(L252),L252+SUM(E253)-SUM(K253),"미산정"))</x:f>
        <x:v>0</x:v>
      </x:c>
      <x:c r="M253" s="98"/>
      <x:c r="N253" s="98"/>
      <x:c r="O253" s="102" t="str">
        <x:f>"113동 / 시스템동바리 조립"&amp;CHAR(10)&amp;IF('원자료·매핑'!U39=0,"미불출",IF('원자료·매핑'!U39=K253,"전량 불출(가상)","부분 불출 "&amp;TEXT('원자료·매핑'!U39,"#,##0")&amp;" / "&amp;TEXT(K253,"#,##0")&amp;" (가상)"))</x:f>
        <x:v>113동 / 시스템동바리 조립
미불출</x:v>
      </x:c>
    </x:row>
    <x:row r="254" ht="32" customHeight="1">
      <x:c r="A254" s="53" t="str">
        <x:v>합계 / 최종 계획잔량</x:v>
      </x:c>
      <x:c r="B254" s="49"/>
      <x:c r="C254" s="49"/>
      <x:c r="D254" s="63"/>
      <x:c r="E254" s="64" t="n">
        <x:f>IF(COUNTIFS(E246:E253,"미산정")&gt;0,"미산정",SUM(E246:E253))</x:f>
        <x:v>4536</x:v>
      </x:c>
      <x:c r="F254" s="64" t="str">
        <x:f>IF(COUNT(F246:F253)=0,"",SUM(F246:F253))</x:f>
      </x:c>
      <x:c r="G254" s="64" t="str">
        <x:f>G253</x:f>
      </x:c>
      <x:c r="H254" s="64" t="str">
        <x:f>IF(COUNT(H246:H253)=0,"",SUM(H246:H253))</x:f>
      </x:c>
      <x:c r="I254" s="63"/>
      <x:c r="J254" s="63"/>
      <x:c r="K254" s="64" t="n">
        <x:f>IF(COUNTIFS(K246:K253,"미산정")&gt;0,"미산정",SUM(K246:K253))</x:f>
        <x:v>4536</x:v>
      </x:c>
      <x:c r="L254" s="64" t="n">
        <x:f>L253</x:f>
        <x:v>0</x:v>
      </x:c>
      <x:c r="M254" s="63"/>
      <x:c r="N254" s="63"/>
      <x:c r="O254" s="49"/>
    </x:row>
    <x:row r="255" ht="26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</x:row>
    <x:row r="256" ht="26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</x:row>
    <x:row r="257" ht="26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</x:row>
    <x:row r="258" ht="26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</x:row>
    <x:row r="259" ht="26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</x:row>
    <x:row r="260" ht="26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</x:row>
    <x:row r="261" ht="26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</x:row>
    <x:row r="262" ht="26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</x:row>
    <x:row r="263" ht="26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</x:row>
    <x:row r="264" ht="26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</x:row>
    <x:row r="265" ht="26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</x:row>
    <x:row r="266" ht="26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</x:row>
    <x:row r="267" ht="26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</x:row>
    <x:row r="268" ht="26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</x:row>
    <x:row r="269" ht="26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</x:row>
    <x:row r="270" ht="26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</x:row>
    <x:row r="271" ht="26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</x:row>
    <x:row r="272" ht="26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</x:row>
    <x:row r="273" ht="26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</x:row>
    <x:row r="274" ht="26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</x:row>
    <x:row r="275" ht="26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</x:row>
    <x:row r="276" ht="26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</x:row>
    <x:row r="277" ht="26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</x:row>
    <x:row r="278" ht="26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</x:row>
    <x:row r="279" ht="26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</x:row>
    <x:row r="280" ht="26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</x:row>
    <x:row r="281" ht="26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</x:row>
    <x:row r="282" ht="26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</x:row>
    <x:row r="283" ht="26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</x:row>
    <x:row r="284" ht="26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</x:row>
    <x:row r="285" ht="26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</x:row>
    <x:row r="286" ht="26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</x:row>
    <x:row r="287" ht="26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</x:row>
    <x:row r="288" ht="26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</x:row>
    <x:row r="289" ht="26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</x:row>
    <x:row r="290" ht="26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</x:row>
    <x:row r="291" ht="26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</x:row>
    <x:row r="292" ht="26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</x:row>
    <x:row r="293" ht="26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</x:row>
    <x:row r="294" ht="26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</x:row>
    <x:row r="295" ht="26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</x:row>
    <x:row r="296" ht="26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</x:row>
    <x:row r="297" ht="26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</x:row>
    <x:row r="298" ht="26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</x:row>
    <x:row r="299" ht="26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</x:row>
    <x:row r="300" ht="26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</x:row>
  </x:sheetData>
  <x:mergeCells>
    <x:mergeCell ref="A3:O3"/>
    <x:mergeCell ref="A5:O5"/>
    <x:mergeCell ref="A6:I6"/>
    <x:mergeCell ref="J6:O6"/>
    <x:mergeCell ref="A7:O7"/>
    <x:mergeCell ref="A8:O8"/>
    <x:mergeCell ref="A9:A10"/>
    <x:mergeCell ref="B9:B10"/>
    <x:mergeCell ref="C9:C10"/>
    <x:mergeCell ref="D9:D10"/>
    <x:mergeCell ref="E9:E10"/>
    <x:mergeCell ref="J9:J10"/>
    <x:mergeCell ref="K9:K10"/>
    <x:mergeCell ref="L9:L10"/>
    <x:mergeCell ref="M9:M10"/>
    <x:mergeCell ref="N9:N10"/>
    <x:mergeCell ref="O9:O10"/>
    <x:mergeCell ref="F9:G9"/>
    <x:mergeCell ref="H9:I9"/>
    <x:mergeCell ref="A11:A26"/>
    <x:mergeCell ref="B11:B26"/>
    <x:mergeCell ref="C11:C26"/>
    <x:mergeCell ref="A27:D27"/>
    <x:mergeCell ref="A30:O30"/>
    <x:mergeCell ref="A31:I31"/>
    <x:mergeCell ref="J31:O31"/>
    <x:mergeCell ref="A32:O32"/>
    <x:mergeCell ref="A33:O33"/>
    <x:mergeCell ref="A34:A35"/>
    <x:mergeCell ref="B34:B35"/>
    <x:mergeCell ref="C34:C35"/>
    <x:mergeCell ref="D34:D35"/>
    <x:mergeCell ref="E34:E35"/>
    <x:mergeCell ref="J34:J35"/>
    <x:mergeCell ref="K34:K35"/>
    <x:mergeCell ref="L34:L35"/>
    <x:mergeCell ref="M34:M35"/>
    <x:mergeCell ref="N34:N35"/>
    <x:mergeCell ref="O34:O35"/>
    <x:mergeCell ref="F34:G34"/>
    <x:mergeCell ref="H34:I34"/>
    <x:mergeCell ref="A36:A51"/>
    <x:mergeCell ref="B36:B51"/>
    <x:mergeCell ref="C36:C51"/>
    <x:mergeCell ref="A52:D52"/>
    <x:mergeCell ref="A55:O55"/>
    <x:mergeCell ref="A56:I56"/>
    <x:mergeCell ref="J56:O56"/>
    <x:mergeCell ref="A57:O57"/>
    <x:mergeCell ref="A58:O58"/>
    <x:mergeCell ref="A59:A60"/>
    <x:mergeCell ref="B59:B60"/>
    <x:mergeCell ref="C59:C60"/>
    <x:mergeCell ref="D59:D60"/>
    <x:mergeCell ref="E59:E60"/>
    <x:mergeCell ref="J59:J60"/>
    <x:mergeCell ref="K59:K60"/>
    <x:mergeCell ref="L59:L60"/>
    <x:mergeCell ref="M59:M60"/>
    <x:mergeCell ref="N59:N60"/>
    <x:mergeCell ref="O59:O60"/>
    <x:mergeCell ref="F59:G59"/>
    <x:mergeCell ref="H59:I59"/>
    <x:mergeCell ref="A61:A76"/>
    <x:mergeCell ref="B61:B76"/>
    <x:mergeCell ref="C61:C76"/>
    <x:mergeCell ref="A77:D77"/>
    <x:mergeCell ref="A80:O80"/>
    <x:mergeCell ref="A81:I81"/>
    <x:mergeCell ref="J81:O81"/>
    <x:mergeCell ref="A82:O82"/>
    <x:mergeCell ref="A83:O83"/>
    <x:mergeCell ref="A84:A85"/>
    <x:mergeCell ref="B84:B85"/>
    <x:mergeCell ref="C84:C85"/>
    <x:mergeCell ref="D84:D85"/>
    <x:mergeCell ref="E84:E85"/>
    <x:mergeCell ref="J84:J85"/>
    <x:mergeCell ref="K84:K85"/>
    <x:mergeCell ref="L84:L85"/>
    <x:mergeCell ref="M84:M85"/>
    <x:mergeCell ref="N84:N85"/>
    <x:mergeCell ref="O84:O85"/>
    <x:mergeCell ref="F84:G84"/>
    <x:mergeCell ref="H84:I84"/>
    <x:mergeCell ref="A86:A101"/>
    <x:mergeCell ref="B86:B101"/>
    <x:mergeCell ref="C86:C101"/>
    <x:mergeCell ref="A102:D102"/>
    <x:mergeCell ref="A105:O105"/>
    <x:mergeCell ref="A106:I106"/>
    <x:mergeCell ref="J106:O106"/>
    <x:mergeCell ref="A107:O107"/>
    <x:mergeCell ref="A108:O108"/>
    <x:mergeCell ref="A109:A110"/>
    <x:mergeCell ref="B109:B110"/>
    <x:mergeCell ref="C109:C110"/>
    <x:mergeCell ref="D109:D110"/>
    <x:mergeCell ref="E109:E110"/>
    <x:mergeCell ref="J109:J110"/>
    <x:mergeCell ref="K109:K110"/>
    <x:mergeCell ref="L109:L110"/>
    <x:mergeCell ref="M109:M110"/>
    <x:mergeCell ref="N109:N110"/>
    <x:mergeCell ref="O109:O110"/>
    <x:mergeCell ref="F109:G109"/>
    <x:mergeCell ref="H109:I109"/>
    <x:mergeCell ref="A111:A126"/>
    <x:mergeCell ref="B111:B126"/>
    <x:mergeCell ref="C111:C126"/>
    <x:mergeCell ref="A127:D127"/>
    <x:mergeCell ref="A130:O130"/>
    <x:mergeCell ref="A131:I131"/>
    <x:mergeCell ref="J131:O131"/>
    <x:mergeCell ref="A132:O132"/>
    <x:mergeCell ref="A133:O133"/>
    <x:mergeCell ref="A134:A135"/>
    <x:mergeCell ref="B134:B135"/>
    <x:mergeCell ref="C134:C135"/>
    <x:mergeCell ref="D134:D135"/>
    <x:mergeCell ref="E134:E135"/>
    <x:mergeCell ref="J134:J135"/>
    <x:mergeCell ref="K134:K135"/>
    <x:mergeCell ref="L134:L135"/>
    <x:mergeCell ref="M134:M135"/>
    <x:mergeCell ref="N134:N135"/>
    <x:mergeCell ref="O134:O135"/>
    <x:mergeCell ref="F134:G134"/>
    <x:mergeCell ref="H134:I134"/>
    <x:mergeCell ref="A136:A151"/>
    <x:mergeCell ref="B136:B151"/>
    <x:mergeCell ref="C136:C151"/>
    <x:mergeCell ref="A152:D152"/>
    <x:mergeCell ref="A155:O155"/>
    <x:mergeCell ref="A156:I156"/>
    <x:mergeCell ref="J156:O156"/>
    <x:mergeCell ref="A157:O157"/>
    <x:mergeCell ref="A158:O158"/>
    <x:mergeCell ref="A159:A160"/>
    <x:mergeCell ref="B159:B160"/>
    <x:mergeCell ref="C159:C160"/>
    <x:mergeCell ref="D159:D160"/>
    <x:mergeCell ref="E159:E160"/>
    <x:mergeCell ref="J159:J160"/>
    <x:mergeCell ref="K159:K160"/>
    <x:mergeCell ref="L159:L160"/>
    <x:mergeCell ref="M159:M160"/>
    <x:mergeCell ref="N159:N160"/>
    <x:mergeCell ref="O159:O160"/>
    <x:mergeCell ref="F159:G159"/>
    <x:mergeCell ref="H159:I159"/>
    <x:mergeCell ref="A161:A168"/>
    <x:mergeCell ref="B161:B168"/>
    <x:mergeCell ref="C161:C168"/>
    <x:mergeCell ref="A169:D169"/>
    <x:mergeCell ref="A172:O172"/>
    <x:mergeCell ref="A173:I173"/>
    <x:mergeCell ref="J173:O173"/>
    <x:mergeCell ref="A174:O174"/>
    <x:mergeCell ref="A175:O175"/>
    <x:mergeCell ref="A176:A177"/>
    <x:mergeCell ref="B176:B177"/>
    <x:mergeCell ref="C176:C177"/>
    <x:mergeCell ref="D176:D177"/>
    <x:mergeCell ref="E176:E177"/>
    <x:mergeCell ref="J176:J177"/>
    <x:mergeCell ref="K176:K177"/>
    <x:mergeCell ref="L176:L177"/>
    <x:mergeCell ref="M176:M177"/>
    <x:mergeCell ref="N176:N177"/>
    <x:mergeCell ref="O176:O177"/>
    <x:mergeCell ref="F176:G176"/>
    <x:mergeCell ref="H176:I176"/>
    <x:mergeCell ref="A178:A185"/>
    <x:mergeCell ref="B178:B185"/>
    <x:mergeCell ref="C178:C185"/>
    <x:mergeCell ref="A186:D186"/>
    <x:mergeCell ref="A189:O189"/>
    <x:mergeCell ref="A190:I190"/>
    <x:mergeCell ref="J190:O190"/>
    <x:mergeCell ref="A191:O191"/>
    <x:mergeCell ref="A192:O192"/>
    <x:mergeCell ref="A193:A194"/>
    <x:mergeCell ref="B193:B194"/>
    <x:mergeCell ref="C193:C194"/>
    <x:mergeCell ref="D193:D194"/>
    <x:mergeCell ref="E193:E194"/>
    <x:mergeCell ref="J193:J194"/>
    <x:mergeCell ref="K193:K194"/>
    <x:mergeCell ref="L193:L194"/>
    <x:mergeCell ref="M193:M194"/>
    <x:mergeCell ref="N193:N194"/>
    <x:mergeCell ref="O193:O194"/>
    <x:mergeCell ref="F193:G193"/>
    <x:mergeCell ref="H193:I193"/>
    <x:mergeCell ref="A195:A202"/>
    <x:mergeCell ref="B195:B202"/>
    <x:mergeCell ref="C195:C202"/>
    <x:mergeCell ref="A203:D203"/>
    <x:mergeCell ref="A206:O206"/>
    <x:mergeCell ref="A207:I207"/>
    <x:mergeCell ref="J207:O207"/>
    <x:mergeCell ref="A208:O208"/>
    <x:mergeCell ref="A209:O209"/>
    <x:mergeCell ref="A210:A211"/>
    <x:mergeCell ref="B210:B211"/>
    <x:mergeCell ref="C210:C211"/>
    <x:mergeCell ref="D210:D211"/>
    <x:mergeCell ref="E210:E211"/>
    <x:mergeCell ref="J210:J211"/>
    <x:mergeCell ref="K210:K211"/>
    <x:mergeCell ref="L210:L211"/>
    <x:mergeCell ref="M210:M211"/>
    <x:mergeCell ref="N210:N211"/>
    <x:mergeCell ref="O210:O211"/>
    <x:mergeCell ref="F210:G210"/>
    <x:mergeCell ref="H210:I210"/>
    <x:mergeCell ref="A212:A219"/>
    <x:mergeCell ref="B212:B219"/>
    <x:mergeCell ref="C212:C219"/>
    <x:mergeCell ref="A220:D220"/>
    <x:mergeCell ref="A223:O223"/>
    <x:mergeCell ref="A224:I224"/>
    <x:mergeCell ref="J224:O224"/>
    <x:mergeCell ref="A225:O225"/>
    <x:mergeCell ref="A226:O226"/>
    <x:mergeCell ref="A227:A228"/>
    <x:mergeCell ref="B227:B228"/>
    <x:mergeCell ref="C227:C228"/>
    <x:mergeCell ref="D227:D228"/>
    <x:mergeCell ref="E227:E228"/>
    <x:mergeCell ref="J227:J228"/>
    <x:mergeCell ref="K227:K228"/>
    <x:mergeCell ref="L227:L228"/>
    <x:mergeCell ref="M227:M228"/>
    <x:mergeCell ref="N227:N228"/>
    <x:mergeCell ref="O227:O228"/>
    <x:mergeCell ref="F227:G227"/>
    <x:mergeCell ref="H227:I227"/>
    <x:mergeCell ref="A229:A236"/>
    <x:mergeCell ref="B229:B236"/>
    <x:mergeCell ref="C229:C236"/>
    <x:mergeCell ref="A237:D237"/>
    <x:mergeCell ref="A240:O240"/>
    <x:mergeCell ref="A241:I241"/>
    <x:mergeCell ref="J241:O241"/>
    <x:mergeCell ref="A242:O242"/>
    <x:mergeCell ref="A243:O243"/>
    <x:mergeCell ref="A244:A245"/>
    <x:mergeCell ref="B244:B245"/>
    <x:mergeCell ref="C244:C245"/>
    <x:mergeCell ref="D244:D245"/>
    <x:mergeCell ref="E244:E245"/>
    <x:mergeCell ref="J244:J245"/>
    <x:mergeCell ref="K244:K245"/>
    <x:mergeCell ref="L244:L245"/>
    <x:mergeCell ref="M244:M245"/>
    <x:mergeCell ref="N244:N245"/>
    <x:mergeCell ref="O244:O245"/>
    <x:mergeCell ref="F244:G244"/>
    <x:mergeCell ref="H244:I244"/>
    <x:mergeCell ref="A246:A253"/>
    <x:mergeCell ref="B246:B253"/>
    <x:mergeCell ref="C246:C253"/>
    <x:mergeCell ref="A254:D254"/>
  </x:mergeCells>
  <x:conditionalFormatting sqref="L11:L26">
    <x:cfRule type="cellIs" dxfId="0" priority="1" operator="lessThan">
      <x:formula>0</x:formula>
    </x:cfRule>
  </x:conditionalFormatting>
  <x:conditionalFormatting sqref="L36:L51">
    <x:cfRule type="cellIs" dxfId="1" priority="2" operator="lessThan">
      <x:formula>0</x:formula>
    </x:cfRule>
  </x:conditionalFormatting>
  <x:conditionalFormatting sqref="L61:L76">
    <x:cfRule type="cellIs" dxfId="2" priority="3" operator="lessThan">
      <x:formula>0</x:formula>
    </x:cfRule>
  </x:conditionalFormatting>
  <x:conditionalFormatting sqref="L86:L101">
    <x:cfRule type="cellIs" dxfId="3" priority="4" operator="lessThan">
      <x:formula>0</x:formula>
    </x:cfRule>
  </x:conditionalFormatting>
  <x:conditionalFormatting sqref="L111:L126">
    <x:cfRule type="cellIs" dxfId="4" priority="5" operator="lessThan">
      <x:formula>0</x:formula>
    </x:cfRule>
  </x:conditionalFormatting>
  <x:conditionalFormatting sqref="L136:L151">
    <x:cfRule type="cellIs" dxfId="5" priority="6" operator="lessThan">
      <x:formula>0</x:formula>
    </x:cfRule>
  </x:conditionalFormatting>
  <x:conditionalFormatting sqref="L161:L168">
    <x:cfRule type="cellIs" dxfId="6" priority="7" operator="lessThan">
      <x:formula>0</x:formula>
    </x:cfRule>
  </x:conditionalFormatting>
  <x:conditionalFormatting sqref="L178:L185">
    <x:cfRule type="cellIs" dxfId="7" priority="8" operator="lessThan">
      <x:formula>0</x:formula>
    </x:cfRule>
  </x:conditionalFormatting>
  <x:conditionalFormatting sqref="L195:L202">
    <x:cfRule type="cellIs" dxfId="8" priority="9" operator="lessThan">
      <x:formula>0</x:formula>
    </x:cfRule>
  </x:conditionalFormatting>
  <x:conditionalFormatting sqref="L212:L219">
    <x:cfRule type="cellIs" dxfId="9" priority="10" operator="lessThan">
      <x:formula>0</x:formula>
    </x:cfRule>
  </x:conditionalFormatting>
  <x:conditionalFormatting sqref="L229:L236">
    <x:cfRule type="cellIs" dxfId="10" priority="11" operator="lessThan">
      <x:formula>0</x:formula>
    </x:cfRule>
  </x:conditionalFormatting>
  <x:conditionalFormatting sqref="L246:L253">
    <x:cfRule type="cellIs" dxfId="11" priority="12" operator="lessThan">
      <x:formula>0</x:formula>
    </x:cfRule>
  </x:conditionalFormatting>
  <x:dataValidations count="24">
    <x:dataValidation type="decimal" operator="greaterThanOrEqual" sqref="F11:F26">
      <x:formula1>0</x:formula1>
    </x:dataValidation>
    <x:dataValidation type="decimal" operator="greaterThanOrEqual" sqref="H11:H26">
      <x:formula1>0</x:formula1>
    </x:dataValidation>
    <x:dataValidation type="decimal" operator="greaterThanOrEqual" sqref="F36:F51">
      <x:formula1>0</x:formula1>
    </x:dataValidation>
    <x:dataValidation type="decimal" operator="greaterThanOrEqual" sqref="H36:H51">
      <x:formula1>0</x:formula1>
    </x:dataValidation>
    <x:dataValidation type="decimal" operator="greaterThanOrEqual" sqref="F61:F76">
      <x:formula1>0</x:formula1>
    </x:dataValidation>
    <x:dataValidation type="decimal" operator="greaterThanOrEqual" sqref="H61:H76">
      <x:formula1>0</x:formula1>
    </x:dataValidation>
    <x:dataValidation type="decimal" operator="greaterThanOrEqual" sqref="F86:F101">
      <x:formula1>0</x:formula1>
    </x:dataValidation>
    <x:dataValidation type="decimal" operator="greaterThanOrEqual" sqref="H86:H101">
      <x:formula1>0</x:formula1>
    </x:dataValidation>
    <x:dataValidation type="decimal" operator="greaterThanOrEqual" sqref="F111:F126">
      <x:formula1>0</x:formula1>
    </x:dataValidation>
    <x:dataValidation type="decimal" operator="greaterThanOrEqual" sqref="H111:H126">
      <x:formula1>0</x:formula1>
    </x:dataValidation>
    <x:dataValidation type="decimal" operator="greaterThanOrEqual" sqref="F136:F151">
      <x:formula1>0</x:formula1>
    </x:dataValidation>
    <x:dataValidation type="decimal" operator="greaterThanOrEqual" sqref="H136:H151">
      <x:formula1>0</x:formula1>
    </x:dataValidation>
    <x:dataValidation type="decimal" operator="greaterThanOrEqual" sqref="F161:F168">
      <x:formula1>0</x:formula1>
    </x:dataValidation>
    <x:dataValidation type="decimal" operator="greaterThanOrEqual" sqref="H161:H168">
      <x:formula1>0</x:formula1>
    </x:dataValidation>
    <x:dataValidation type="decimal" operator="greaterThanOrEqual" sqref="F178:F185">
      <x:formula1>0</x:formula1>
    </x:dataValidation>
    <x:dataValidation type="decimal" operator="greaterThanOrEqual" sqref="H178:H185">
      <x:formula1>0</x:formula1>
    </x:dataValidation>
    <x:dataValidation type="decimal" operator="greaterThanOrEqual" sqref="F195:F202">
      <x:formula1>0</x:formula1>
    </x:dataValidation>
    <x:dataValidation type="decimal" operator="greaterThanOrEqual" sqref="H195:H202">
      <x:formula1>0</x:formula1>
    </x:dataValidation>
    <x:dataValidation type="decimal" operator="greaterThanOrEqual" sqref="F212:F219">
      <x:formula1>0</x:formula1>
    </x:dataValidation>
    <x:dataValidation type="decimal" operator="greaterThanOrEqual" sqref="H212:H219">
      <x:formula1>0</x:formula1>
    </x:dataValidation>
    <x:dataValidation type="decimal" operator="greaterThanOrEqual" sqref="F229:F236">
      <x:formula1>0</x:formula1>
    </x:dataValidation>
    <x:dataValidation type="decimal" operator="greaterThanOrEqual" sqref="H229:H236">
      <x:formula1>0</x:formula1>
    </x:dataValidation>
    <x:dataValidation type="decimal" operator="greaterThanOrEqual" sqref="F246:F253">
      <x:formula1>0</x:formula1>
    </x:dataValidation>
    <x:dataValidation type="decimal" operator="greaterThanOrEqual" sqref="H246:H253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5F49"/>
  </x:sheetPr>
  <x:sheetViews>
    <x:sheetView showGridLines="0" workbookViewId="0">
      <x:pane xSplit="3" ySplit="16" topLeftCell="D17" activePane="bottomRight" state="frozen"/>
    </x:sheetView>
  </x:sheetViews>
  <x:sheetFormatPr defaultRowHeight="15"/>
  <x:cols>
    <x:col min="1" max="1" width="8" hidden="0" customWidth="1"/>
    <x:col min="2" max="2" width="9.5" hidden="0" customWidth="1"/>
    <x:col min="3" max="3" width="23.75" hidden="0" customWidth="1"/>
    <x:col min="4" max="4" width="12.5" hidden="0" customWidth="1"/>
    <x:col min="5" max="5" width="15.25" hidden="0" customWidth="1"/>
    <x:col min="6" max="6" width="30.25" hidden="0" customWidth="1"/>
    <x:col min="7" max="7" width="6.880000114440918" hidden="0" customWidth="1"/>
    <x:col min="8" max="8" width="11" hidden="0" customWidth="1"/>
    <x:col min="9" max="9" width="8.75" hidden="0" customWidth="1"/>
    <x:col min="10" max="10" width="8.75" hidden="0" customWidth="1"/>
    <x:col min="11" max="11" width="8.75" hidden="0" customWidth="1"/>
    <x:col min="12" max="12" width="16.25" hidden="0" customWidth="1"/>
    <x:col min="13" max="13" width="21.8799991607666" hidden="0" customWidth="1"/>
    <x:col min="14" max="14" width="10.25" hidden="0" customWidth="1"/>
    <x:col min="15" max="15" width="11.880000114440918" hidden="0" customWidth="1"/>
    <x:col min="16" max="16" width="11.25" hidden="0" customWidth="1"/>
    <x:col min="17" max="17" width="45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6" customHeight="1">
      <x:c r="A2" s="3" t="str">
        <x:v>원자료와 등록 규격 대조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8" customHeight="1">
      <x:c r="A3" s="5" t="str">
        <x:v>합성 탑뷰를 바탕으로 한 가상 진행 시나리오. 실제 촬영일·공정 실적·재고를 확인한 자료가 아닙니다.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28" customHeight="1">
      <x:c r="A4" s="5" t="str">
        <x:v>출처: 성성_4개동_1층골조_규격별가상물량.xlsx / 공정별자재!A7:N134, 골조공정표!A8:H39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28" customHeight="1">
      <x:c r="A5" s="5" t="str">
        <x:v>범위: 113·112·104·105동 / 1층·필로티 / 층고 5.20m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</x:row>
    <x:row r="6" ht="28" customHeight="1">
      <x:c r="A6" s="5" t="str">
        <x:v>WD는 상대 작업일. WD 1 = 104동 6월 2주 착수. 연도·달력 날짜는 미제공.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</x:row>
    <x:row r="7" ht="28" customHeight="1">
      <x:c r="A7" s="5" t="str">
        <x:v>사용자 기준: 웹 등록 품목·규격과 일치하는 물량만 사용. 그 외는 미산정, 수량 0으로 처리하지 않음.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</x:row>
    <x:row r="8" ht="28" customHeight="1">
      <x:c r="A8" s="5" t="str">
        <x:v>철근은 원자료 SD500 D10~D25의 kg 수량 유지. 길이는 미제공이며 본수·묶음 수량으로 변환하지 않음.</x:v>
      </x:c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</x:row>
    <x:row r="9" ht="30" customHeight="1">
      <x:c r="A9" s="6" t="str">
        <x:v>기초재고</x:v>
      </x:c>
      <x:c r="B9" s="8" t="n">
        <x:v>0</x:v>
      </x:c>
      <x:c r="C9" s="6" t="str">
        <x:v>모든 규격의 기초 계획재고 0. 규격이 확인되지 않은 웹 재고는 차감하지 않음.</x:v>
      </x:c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</x:row>
    <x:row r="10" ht="42" customHeight="1">
      <x:c r="A10" s="6" t="str">
        <x:v>기본 선반입</x:v>
      </x:c>
      <x:c r="B10" s="8" t="n">
        <x:v>1</x:v>
      </x:c>
      <x:c r="C10" s="6" t="str">
        <x:v>기본은 사용 1 WD 전 반입. R열에는 104동 보·슬래브 철근 WD10, 105동 유로폼 WD10, 104동 동바리 WD9 선반입을 적용.</x:v>
      </x:c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</x:row>
    <x:row r="11" ht="42" customHeight="1">
      <x:c r="A11" s="5" t="str">
        <x:v>기성률은 작업기간 경과 비율 가정. 불출량은 계획량×기성률을 정수 반올림하며, 반입량을 넘지 않게 제한. 해체·회수·동간 재사용 없음.</x:v>
      </x:c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</x:row>
    <x:row r="12" ht="28" customHeight="1">
      <x:c r="A12" s="5" t="str">
        <x:v>이미지의 추가 야적: 철근 2곳·유로폼 2곳·동바리 1곳. 사진의 묶음 수·면적으로 규격별 수량을 측정하지 않음.</x:v>
      </x:c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</x:row>
    <x:row r="13" ht="28" customHeight="1">
      <x:c r="A13" s="5" t="str">
        <x:v>H열 원수량은 첨부 파일의 계산 결과. O열은 등록 대조 후 반영 수량. 미일치 원수량은 확인용으로만 보존.</x:v>
      </x:c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</x:row>
    <x:row r="14" ht="26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42" customHeight="1">
      <x:c r="A15" s="6" t="str">
        <x:v>기준 WD</x:v>
      </x:c>
      <x:c r="B15" s="71" t="n">
        <x:v>10</x:v>
      </x:c>
      <x:c r="C15" s="6" t="str">
        <x:v>가상 진행 기준. B15 변경 시 기성·반입·불출·야적재고·잔여량이 함께 갱신됩니다. 원수량과 원래 착수·완료·반입 WD는 H~K열에 보존.</x:v>
      </x:c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</x:row>
    <x:row r="16" ht="40" customHeight="1">
      <x:c r="A16" s="12" t="str">
        <x:v>원본 행</x:v>
      </x:c>
      <x:c r="B16" s="12" t="str">
        <x:v>동</x:v>
      </x:c>
      <x:c r="C16" s="12" t="str">
        <x:v>공정</x:v>
      </x:c>
      <x:c r="D16" s="12" t="str">
        <x:v>원자료 코드</x:v>
      </x:c>
      <x:c r="E16" s="12" t="str">
        <x:v>원자료 품목</x:v>
      </x:c>
      <x:c r="F16" s="12" t="str">
        <x:v>원자료 규격</x:v>
      </x:c>
      <x:c r="G16" s="12" t="str">
        <x:v>단위</x:v>
      </x:c>
      <x:c r="H16" s="12" t="str">
        <x:v>원수량</x:v>
      </x:c>
      <x:c r="I16" s="12" t="str">
        <x:v>착수 WD</x:v>
      </x:c>
      <x:c r="J16" s="12" t="str">
        <x:v>완료 WD</x:v>
      </x:c>
      <x:c r="K16" s="12" t="str">
        <x:v>반입 WD</x:v>
      </x:c>
      <x:c r="L16" s="12" t="str">
        <x:v>등록 품목</x:v>
      </x:c>
      <x:c r="M16" s="12" t="str">
        <x:v>등록 규격</x:v>
      </x:c>
      <x:c r="N16" s="12" t="str">
        <x:v>대조 결과</x:v>
      </x:c>
      <x:c r="O16" s="12" t="str">
        <x:v>반영 수량</x:v>
      </x:c>
      <x:c r="P16" s="12" t="str">
        <x:v>철근 길이 mm</x:v>
      </x:c>
      <x:c r="Q16" s="12" t="str">
        <x:v>처리 근거</x:v>
      </x:c>
      <x:c r="R16" s="77" t="str">
        <x:v>적용 반입 WD</x:v>
      </x:c>
      <x:c r="S16" s="77" t="str">
        <x:v>가정 기성률</x:v>
      </x:c>
      <x:c r="T16" s="77" t="str">
        <x:v>기반입량</x:v>
      </x:c>
      <x:c r="U16" s="77" t="str">
        <x:v>기불출량</x:v>
      </x:c>
      <x:c r="V16" s="77" t="str">
        <x:v>현재 야적량</x:v>
      </x:c>
      <x:c r="W16" s="77" t="str">
        <x:v>잔여 반입량</x:v>
      </x:c>
      <x:c r="X16" s="77" t="str">
        <x:v>잔여 사용량</x:v>
      </x:c>
    </x:row>
    <x:row r="17" ht="44" customHeight="1">
      <x:c r="A17" s="24" t="n">
        <x:v>7</x:v>
      </x:c>
      <x:c r="B17" s="24" t="str">
        <x:v>113동</x:v>
      </x:c>
      <x:c r="C17" s="13" t="str">
        <x:v>벽체·기둥 철근배근</x:v>
      </x:c>
      <x:c r="D17" s="13" t="str">
        <x:v>RB-D10</x:v>
      </x:c>
      <x:c r="E17" s="13" t="str">
        <x:v>철근</x:v>
      </x:c>
      <x:c r="F17" s="13" t="str">
        <x:v>SD500 D10 / 부위별 공장 가공</x:v>
      </x:c>
      <x:c r="G17" s="13" t="str">
        <x:v>kg</x:v>
      </x:c>
      <x:c r="H17" s="17" t="n">
        <x:v>1550</x:v>
      </x:c>
      <x:c r="I17" s="26" t="n">
        <x:v>43</x:v>
      </x:c>
      <x:c r="J17" s="26" t="n">
        <x:v>47</x:v>
      </x:c>
      <x:c r="K17" s="26" t="n">
        <x:v>42</x:v>
      </x:c>
      <x:c r="L17" s="13" t="str">
        <x:v>철근</x:v>
      </x:c>
      <x:c r="M17" s="13" t="str">
        <x:v>D10</x:v>
      </x:c>
      <x:c r="N17" s="24" t="str">
        <x:v>반영</x:v>
      </x:c>
      <x:c r="O17" s="29" t="n">
        <x:f>IF(AND(N17="반영",ISNUMBER(H17)),H17,"미산정")</x:f>
        <x:v>1550</x:v>
      </x:c>
      <x:c r="P17" s="24" t="str">
        <x:v>미제공</x:v>
      </x:c>
      <x:c r="Q17" s="13" t="str">
        <x:v>등록 품목·규격과 일치</x:v>
      </x:c>
      <x:c r="R17" s="81" t="n">
        <x:f>K17</x:f>
        <x:v>42</x:v>
      </x:c>
      <x:c r="S17" s="83" t="n">
        <x:f>MAX(0,MIN(1,($B$15-I17+1)/(J17-I17+1)))</x:f>
        <x:v>0</x:v>
      </x:c>
      <x:c r="T17" s="87" t="n">
        <x:f>IF(ISNUMBER(O17),IF(R17&lt;=$B$15,O17,0),"미산정")</x:f>
        <x:v>0</x:v>
      </x:c>
      <x:c r="U17" s="87" t="n">
        <x:f>IF(ISNUMBER(O17),MIN(T17,ROUND(O17*S17,0)),"미산정")</x:f>
        <x:v>0</x:v>
      </x:c>
      <x:c r="V17" s="87" t="n">
        <x:f>IF(ISNUMBER(O17),T17-U17,"미산정")</x:f>
        <x:v>0</x:v>
      </x:c>
      <x:c r="W17" s="87" t="n">
        <x:f>IF(ISNUMBER(O17),O17-T17,"미산정")</x:f>
        <x:v>1550</x:v>
      </x:c>
      <x:c r="X17" s="87" t="n">
        <x:f>IF(ISNUMBER(O17),O17-U17,"미산정")</x:f>
        <x:v>1550</x:v>
      </x:c>
    </x:row>
    <x:row r="18" ht="44" customHeight="1">
      <x:c r="A18" s="25" t="n">
        <x:v>8</x:v>
      </x:c>
      <x:c r="B18" s="25" t="str">
        <x:v>113동</x:v>
      </x:c>
      <x:c r="C18" s="6" t="str">
        <x:v>벽체·기둥 철근배근</x:v>
      </x:c>
      <x:c r="D18" s="6" t="str">
        <x:v>RB-D13</x:v>
      </x:c>
      <x:c r="E18" s="6" t="str">
        <x:v>철근</x:v>
      </x:c>
      <x:c r="F18" s="6" t="str">
        <x:v>SD500 D13 / 부위별 공장 가공</x:v>
      </x:c>
      <x:c r="G18" s="6" t="str">
        <x:v>kg</x:v>
      </x:c>
      <x:c r="H18" s="18" t="n">
        <x:v>2330</x:v>
      </x:c>
      <x:c r="I18" s="27" t="n">
        <x:v>43</x:v>
      </x:c>
      <x:c r="J18" s="27" t="n">
        <x:v>47</x:v>
      </x:c>
      <x:c r="K18" s="27" t="n">
        <x:v>42</x:v>
      </x:c>
      <x:c r="L18" s="6" t="str">
        <x:v>철근</x:v>
      </x:c>
      <x:c r="M18" s="6" t="str">
        <x:v>D13</x:v>
      </x:c>
      <x:c r="N18" s="25" t="str">
        <x:v>반영</x:v>
      </x:c>
      <x:c r="O18" s="30" t="n">
        <x:f>IF(AND(N18="반영",ISNUMBER(H18)),H18,"미산정")</x:f>
        <x:v>2330</x:v>
      </x:c>
      <x:c r="P18" s="25" t="str">
        <x:v>미제공</x:v>
      </x:c>
      <x:c r="Q18" s="6" t="str">
        <x:v>등록 품목·규격과 일치</x:v>
      </x:c>
      <x:c r="R18" s="81" t="n">
        <x:f>K18</x:f>
        <x:v>42</x:v>
      </x:c>
      <x:c r="S18" s="84" t="n">
        <x:f>MAX(0,MIN(1,($B$15-I18+1)/(J18-I18+1)))</x:f>
        <x:v>0</x:v>
      </x:c>
      <x:c r="T18" s="88" t="n">
        <x:f>IF(ISNUMBER(O18),IF(R18&lt;=$B$15,O18,0),"미산정")</x:f>
        <x:v>0</x:v>
      </x:c>
      <x:c r="U18" s="88" t="n">
        <x:f>IF(ISNUMBER(O18),MIN(T18,ROUND(O18*S18,0)),"미산정")</x:f>
        <x:v>0</x:v>
      </x:c>
      <x:c r="V18" s="88" t="n">
        <x:f>IF(ISNUMBER(O18),T18-U18,"미산정")</x:f>
        <x:v>0</x:v>
      </x:c>
      <x:c r="W18" s="88" t="n">
        <x:f>IF(ISNUMBER(O18),O18-T18,"미산정")</x:f>
        <x:v>2330</x:v>
      </x:c>
      <x:c r="X18" s="88" t="n">
        <x:f>IF(ISNUMBER(O18),O18-U18,"미산정")</x:f>
        <x:v>2330</x:v>
      </x:c>
    </x:row>
    <x:row r="19" ht="44" customHeight="1">
      <x:c r="A19" s="24" t="n">
        <x:v>9</x:v>
      </x:c>
      <x:c r="B19" s="24" t="str">
        <x:v>113동</x:v>
      </x:c>
      <x:c r="C19" s="13" t="str">
        <x:v>벽체·기둥 철근배근</x:v>
      </x:c>
      <x:c r="D19" s="13" t="str">
        <x:v>RB-D16</x:v>
      </x:c>
      <x:c r="E19" s="13" t="str">
        <x:v>철근</x:v>
      </x:c>
      <x:c r="F19" s="13" t="str">
        <x:v>SD500 D16 / 부위별 공장 가공</x:v>
      </x:c>
      <x:c r="G19" s="13" t="str">
        <x:v>kg</x:v>
      </x:c>
      <x:c r="H19" s="17" t="n">
        <x:v>2910</x:v>
      </x:c>
      <x:c r="I19" s="26" t="n">
        <x:v>43</x:v>
      </x:c>
      <x:c r="J19" s="26" t="n">
        <x:v>47</x:v>
      </x:c>
      <x:c r="K19" s="26" t="n">
        <x:v>42</x:v>
      </x:c>
      <x:c r="L19" s="13" t="str">
        <x:v>철근</x:v>
      </x:c>
      <x:c r="M19" s="13" t="str">
        <x:v>D16</x:v>
      </x:c>
      <x:c r="N19" s="24" t="str">
        <x:v>반영</x:v>
      </x:c>
      <x:c r="O19" s="29" t="n">
        <x:f>IF(AND(N19="반영",ISNUMBER(H19)),H19,"미산정")</x:f>
        <x:v>2910</x:v>
      </x:c>
      <x:c r="P19" s="24" t="str">
        <x:v>미제공</x:v>
      </x:c>
      <x:c r="Q19" s="13" t="str">
        <x:v>등록 품목·규격과 일치</x:v>
      </x:c>
      <x:c r="R19" s="81" t="n">
        <x:f>K19</x:f>
        <x:v>42</x:v>
      </x:c>
      <x:c r="S19" s="83" t="n">
        <x:f>MAX(0,MIN(1,($B$15-I19+1)/(J19-I19+1)))</x:f>
        <x:v>0</x:v>
      </x:c>
      <x:c r="T19" s="87" t="n">
        <x:f>IF(ISNUMBER(O19),IF(R19&lt;=$B$15,O19,0),"미산정")</x:f>
        <x:v>0</x:v>
      </x:c>
      <x:c r="U19" s="87" t="n">
        <x:f>IF(ISNUMBER(O19),MIN(T19,ROUND(O19*S19,0)),"미산정")</x:f>
        <x:v>0</x:v>
      </x:c>
      <x:c r="V19" s="87" t="n">
        <x:f>IF(ISNUMBER(O19),T19-U19,"미산정")</x:f>
        <x:v>0</x:v>
      </x:c>
      <x:c r="W19" s="87" t="n">
        <x:f>IF(ISNUMBER(O19),O19-T19,"미산정")</x:f>
        <x:v>2910</x:v>
      </x:c>
      <x:c r="X19" s="87" t="n">
        <x:f>IF(ISNUMBER(O19),O19-U19,"미산정")</x:f>
        <x:v>2910</x:v>
      </x:c>
    </x:row>
    <x:row r="20" ht="44" customHeight="1">
      <x:c r="A20" s="25" t="n">
        <x:v>10</x:v>
      </x:c>
      <x:c r="B20" s="25" t="str">
        <x:v>113동</x:v>
      </x:c>
      <x:c r="C20" s="6" t="str">
        <x:v>벽체·기둥 철근배근</x:v>
      </x:c>
      <x:c r="D20" s="6" t="str">
        <x:v>RB-D19</x:v>
      </x:c>
      <x:c r="E20" s="6" t="str">
        <x:v>철근</x:v>
      </x:c>
      <x:c r="F20" s="6" t="str">
        <x:v>SD500 D19 / 부위별 공장 가공</x:v>
      </x:c>
      <x:c r="G20" s="6" t="str">
        <x:v>kg</x:v>
      </x:c>
      <x:c r="H20" s="18" t="n">
        <x:v>2910</x:v>
      </x:c>
      <x:c r="I20" s="27" t="n">
        <x:v>43</x:v>
      </x:c>
      <x:c r="J20" s="27" t="n">
        <x:v>47</x:v>
      </x:c>
      <x:c r="K20" s="27" t="n">
        <x:v>42</x:v>
      </x:c>
      <x:c r="L20" s="6" t="str">
        <x:v>철근</x:v>
      </x:c>
      <x:c r="M20" s="6" t="str">
        <x:v>D19</x:v>
      </x:c>
      <x:c r="N20" s="25" t="str">
        <x:v>반영</x:v>
      </x:c>
      <x:c r="O20" s="30" t="n">
        <x:f>IF(AND(N20="반영",ISNUMBER(H20)),H20,"미산정")</x:f>
        <x:v>2910</x:v>
      </x:c>
      <x:c r="P20" s="25" t="str">
        <x:v>미제공</x:v>
      </x:c>
      <x:c r="Q20" s="6" t="str">
        <x:v>등록 품목·규격과 일치</x:v>
      </x:c>
      <x:c r="R20" s="81" t="n">
        <x:f>K20</x:f>
        <x:v>42</x:v>
      </x:c>
      <x:c r="S20" s="84" t="n">
        <x:f>MAX(0,MIN(1,($B$15-I20+1)/(J20-I20+1)))</x:f>
        <x:v>0</x:v>
      </x:c>
      <x:c r="T20" s="88" t="n">
        <x:f>IF(ISNUMBER(O20),IF(R20&lt;=$B$15,O20,0),"미산정")</x:f>
        <x:v>0</x:v>
      </x:c>
      <x:c r="U20" s="88" t="n">
        <x:f>IF(ISNUMBER(O20),MIN(T20,ROUND(O20*S20,0)),"미산정")</x:f>
        <x:v>0</x:v>
      </x:c>
      <x:c r="V20" s="88" t="n">
        <x:f>IF(ISNUMBER(O20),T20-U20,"미산정")</x:f>
        <x:v>0</x:v>
      </x:c>
      <x:c r="W20" s="88" t="n">
        <x:f>IF(ISNUMBER(O20),O20-T20,"미산정")</x:f>
        <x:v>2910</x:v>
      </x:c>
      <x:c r="X20" s="88" t="n">
        <x:f>IF(ISNUMBER(O20),O20-U20,"미산정")</x:f>
        <x:v>2910</x:v>
      </x:c>
    </x:row>
    <x:row r="21" ht="44" customHeight="1">
      <x:c r="A21" s="24" t="n">
        <x:v>11</x:v>
      </x:c>
      <x:c r="B21" s="24" t="str">
        <x:v>113동</x:v>
      </x:c>
      <x:c r="C21" s="13" t="str">
        <x:v>벽체·기둥 철근배근</x:v>
      </x:c>
      <x:c r="D21" s="13" t="str">
        <x:v>RB-D22</x:v>
      </x:c>
      <x:c r="E21" s="13" t="str">
        <x:v>철근</x:v>
      </x:c>
      <x:c r="F21" s="13" t="str">
        <x:v>SD500 D22 / 부위별 공장 가공</x:v>
      </x:c>
      <x:c r="G21" s="13" t="str">
        <x:v>kg</x:v>
      </x:c>
      <x:c r="H21" s="17" t="n">
        <x:v>3880</x:v>
      </x:c>
      <x:c r="I21" s="26" t="n">
        <x:v>43</x:v>
      </x:c>
      <x:c r="J21" s="26" t="n">
        <x:v>47</x:v>
      </x:c>
      <x:c r="K21" s="26" t="n">
        <x:v>42</x:v>
      </x:c>
      <x:c r="L21" s="13" t="str">
        <x:v>철근</x:v>
      </x:c>
      <x:c r="M21" s="13" t="str">
        <x:v>D22</x:v>
      </x:c>
      <x:c r="N21" s="24" t="str">
        <x:v>반영</x:v>
      </x:c>
      <x:c r="O21" s="29" t="n">
        <x:f>IF(AND(N21="반영",ISNUMBER(H21)),H21,"미산정")</x:f>
        <x:v>3880</x:v>
      </x:c>
      <x:c r="P21" s="24" t="str">
        <x:v>미제공</x:v>
      </x:c>
      <x:c r="Q21" s="13" t="str">
        <x:v>등록 품목·규격과 일치</x:v>
      </x:c>
      <x:c r="R21" s="81" t="n">
        <x:f>K21</x:f>
        <x:v>42</x:v>
      </x:c>
      <x:c r="S21" s="83" t="n">
        <x:f>MAX(0,MIN(1,($B$15-I21+1)/(J21-I21+1)))</x:f>
        <x:v>0</x:v>
      </x:c>
      <x:c r="T21" s="87" t="n">
        <x:f>IF(ISNUMBER(O21),IF(R21&lt;=$B$15,O21,0),"미산정")</x:f>
        <x:v>0</x:v>
      </x:c>
      <x:c r="U21" s="87" t="n">
        <x:f>IF(ISNUMBER(O21),MIN(T21,ROUND(O21*S21,0)),"미산정")</x:f>
        <x:v>0</x:v>
      </x:c>
      <x:c r="V21" s="87" t="n">
        <x:f>IF(ISNUMBER(O21),T21-U21,"미산정")</x:f>
        <x:v>0</x:v>
      </x:c>
      <x:c r="W21" s="87" t="n">
        <x:f>IF(ISNUMBER(O21),O21-T21,"미산정")</x:f>
        <x:v>3880</x:v>
      </x:c>
      <x:c r="X21" s="87" t="n">
        <x:f>IF(ISNUMBER(O21),O21-U21,"미산정")</x:f>
        <x:v>3880</x:v>
      </x:c>
    </x:row>
    <x:row r="22" ht="44" customHeight="1">
      <x:c r="A22" s="25" t="n">
        <x:v>12</x:v>
      </x:c>
      <x:c r="B22" s="25" t="str">
        <x:v>113동</x:v>
      </x:c>
      <x:c r="C22" s="6" t="str">
        <x:v>벽체·기둥 철근배근</x:v>
      </x:c>
      <x:c r="D22" s="6" t="str">
        <x:v>RB-D25</x:v>
      </x:c>
      <x:c r="E22" s="6" t="str">
        <x:v>철근</x:v>
      </x:c>
      <x:c r="F22" s="6" t="str">
        <x:v>SD500 D25 / 부위별 공장 가공</x:v>
      </x:c>
      <x:c r="G22" s="6" t="str">
        <x:v>kg</x:v>
      </x:c>
      <x:c r="H22" s="18" t="n">
        <x:v>5810</x:v>
      </x:c>
      <x:c r="I22" s="27" t="n">
        <x:v>43</x:v>
      </x:c>
      <x:c r="J22" s="27" t="n">
        <x:v>47</x:v>
      </x:c>
      <x:c r="K22" s="27" t="n">
        <x:v>42</x:v>
      </x:c>
      <x:c r="L22" s="6" t="str">
        <x:v>철근</x:v>
      </x:c>
      <x:c r="M22" s="6" t="str">
        <x:v>D25</x:v>
      </x:c>
      <x:c r="N22" s="25" t="str">
        <x:v>반영</x:v>
      </x:c>
      <x:c r="O22" s="30" t="n">
        <x:f>IF(AND(N22="반영",ISNUMBER(H22)),H22,"미산정")</x:f>
        <x:v>5810</x:v>
      </x:c>
      <x:c r="P22" s="25" t="str">
        <x:v>미제공</x:v>
      </x:c>
      <x:c r="Q22" s="6" t="str">
        <x:v>등록 품목·규격과 일치</x:v>
      </x:c>
      <x:c r="R22" s="81" t="n">
        <x:f>K22</x:f>
        <x:v>42</x:v>
      </x:c>
      <x:c r="S22" s="84" t="n">
        <x:f>MAX(0,MIN(1,($B$15-I22+1)/(J22-I22+1)))</x:f>
        <x:v>0</x:v>
      </x:c>
      <x:c r="T22" s="88" t="n">
        <x:f>IF(ISNUMBER(O22),IF(R22&lt;=$B$15,O22,0),"미산정")</x:f>
        <x:v>0</x:v>
      </x:c>
      <x:c r="U22" s="88" t="n">
        <x:f>IF(ISNUMBER(O22),MIN(T22,ROUND(O22*S22,0)),"미산정")</x:f>
        <x:v>0</x:v>
      </x:c>
      <x:c r="V22" s="88" t="n">
        <x:f>IF(ISNUMBER(O22),T22-U22,"미산정")</x:f>
        <x:v>0</x:v>
      </x:c>
      <x:c r="W22" s="88" t="n">
        <x:f>IF(ISNUMBER(O22),O22-T22,"미산정")</x:f>
        <x:v>5810</x:v>
      </x:c>
      <x:c r="X22" s="88" t="n">
        <x:f>IF(ISNUMBER(O22),O22-U22,"미산정")</x:f>
        <x:v>5810</x:v>
      </x:c>
    </x:row>
    <x:row r="23" ht="44" customHeight="1">
      <x:c r="A23" s="24" t="n">
        <x:v>13</x:v>
      </x:c>
      <x:c r="B23" s="24" t="str">
        <x:v>113동</x:v>
      </x:c>
      <x:c r="C23" s="13" t="str">
        <x:v>수직부 거푸집 설치</x:v>
      </x:c>
      <x:c r="D23" s="13" t="str">
        <x:v>EF-5012</x:v>
      </x:c>
      <x:c r="E23" s="13" t="str">
        <x:v>유로폼</x:v>
      </x:c>
      <x:c r="F23" s="13" t="str">
        <x:v>500×1,200mm</x:v>
      </x:c>
      <x:c r="G23" s="13" t="str">
        <x:v>장</x:v>
      </x:c>
      <x:c r="H23" s="17" t="n">
        <x:v>765</x:v>
      </x:c>
      <x:c r="I23" s="26" t="n">
        <x:v>48</x:v>
      </x:c>
      <x:c r="J23" s="26" t="n">
        <x:v>54</x:v>
      </x:c>
      <x:c r="K23" s="26" t="n">
        <x:v>47</x:v>
      </x:c>
      <x:c r="L23" s="13" t="str">
        <x:v>유로폼</x:v>
      </x:c>
      <x:c r="M23" s="13" t="str">
        <x:v>500x1200</x:v>
      </x:c>
      <x:c r="N23" s="24" t="str">
        <x:v>반영</x:v>
      </x:c>
      <x:c r="O23" s="29" t="n">
        <x:f>IF(AND(N23="반영",ISNUMBER(H23)),H23,"미산정")</x:f>
        <x:v>765</x:v>
      </x:c>
      <x:c r="P23" s="24" t="str">
        <x:v>해당 없음</x:v>
      </x:c>
      <x:c r="Q23" s="13" t="str">
        <x:v>등록 품목·규격과 일치</x:v>
      </x:c>
      <x:c r="R23" s="81" t="n">
        <x:f>K23</x:f>
        <x:v>47</x:v>
      </x:c>
      <x:c r="S23" s="83" t="n">
        <x:f>MAX(0,MIN(1,($B$15-I23+1)/(J23-I23+1)))</x:f>
        <x:v>0</x:v>
      </x:c>
      <x:c r="T23" s="87" t="n">
        <x:f>IF(ISNUMBER(O23),IF(R23&lt;=$B$15,O23,0),"미산정")</x:f>
        <x:v>0</x:v>
      </x:c>
      <x:c r="U23" s="87" t="n">
        <x:f>IF(ISNUMBER(O23),MIN(T23,ROUND(O23*S23,0)),"미산정")</x:f>
        <x:v>0</x:v>
      </x:c>
      <x:c r="V23" s="87" t="n">
        <x:f>IF(ISNUMBER(O23),T23-U23,"미산정")</x:f>
        <x:v>0</x:v>
      </x:c>
      <x:c r="W23" s="87" t="n">
        <x:f>IF(ISNUMBER(O23),O23-T23,"미산정")</x:f>
        <x:v>765</x:v>
      </x:c>
      <x:c r="X23" s="87" t="n">
        <x:f>IF(ISNUMBER(O23),O23-U23,"미산정")</x:f>
        <x:v>765</x:v>
      </x:c>
    </x:row>
    <x:row r="24" ht="44" customHeight="1">
      <x:c r="A24" s="25" t="n">
        <x:v>14</x:v>
      </x:c>
      <x:c r="B24" s="25" t="str">
        <x:v>113동</x:v>
      </x:c>
      <x:c r="C24" s="6" t="str">
        <x:v>수직부 거푸집 설치</x:v>
      </x:c>
      <x:c r="D24" s="6" t="str">
        <x:v>EF-6012</x:v>
      </x:c>
      <x:c r="E24" s="6" t="str">
        <x:v>유로폼</x:v>
      </x:c>
      <x:c r="F24" s="6" t="str">
        <x:v>600×1,200mm</x:v>
      </x:c>
      <x:c r="G24" s="6" t="str">
        <x:v>장</x:v>
      </x:c>
      <x:c r="H24" s="18" t="n">
        <x:v>266</x:v>
      </x:c>
      <x:c r="I24" s="27" t="n">
        <x:v>48</x:v>
      </x:c>
      <x:c r="J24" s="27" t="n">
        <x:v>54</x:v>
      </x:c>
      <x:c r="K24" s="27" t="n">
        <x:v>47</x:v>
      </x:c>
      <x:c r="L24" s="6" t="str">
        <x:v>유로폼</x:v>
      </x:c>
      <x:c r="M24" s="6" t="str">
        <x:v>600x1200</x:v>
      </x:c>
      <x:c r="N24" s="25" t="str">
        <x:v>반영</x:v>
      </x:c>
      <x:c r="O24" s="30" t="n">
        <x:f>IF(AND(N24="반영",ISNUMBER(H24)),H24,"미산정")</x:f>
        <x:v>266</x:v>
      </x:c>
      <x:c r="P24" s="25" t="str">
        <x:v>해당 없음</x:v>
      </x:c>
      <x:c r="Q24" s="6" t="str">
        <x:v>등록 품목·규격과 일치</x:v>
      </x:c>
      <x:c r="R24" s="81" t="n">
        <x:f>K24</x:f>
        <x:v>47</x:v>
      </x:c>
      <x:c r="S24" s="84" t="n">
        <x:f>MAX(0,MIN(1,($B$15-I24+1)/(J24-I24+1)))</x:f>
        <x:v>0</x:v>
      </x:c>
      <x:c r="T24" s="88" t="n">
        <x:f>IF(ISNUMBER(O24),IF(R24&lt;=$B$15,O24,0),"미산정")</x:f>
        <x:v>0</x:v>
      </x:c>
      <x:c r="U24" s="88" t="n">
        <x:f>IF(ISNUMBER(O24),MIN(T24,ROUND(O24*S24,0)),"미산정")</x:f>
        <x:v>0</x:v>
      </x:c>
      <x:c r="V24" s="88" t="n">
        <x:f>IF(ISNUMBER(O24),T24-U24,"미산정")</x:f>
        <x:v>0</x:v>
      </x:c>
      <x:c r="W24" s="88" t="n">
        <x:f>IF(ISNUMBER(O24),O24-T24,"미산정")</x:f>
        <x:v>266</x:v>
      </x:c>
      <x:c r="X24" s="88" t="n">
        <x:f>IF(ISNUMBER(O24),O24-U24,"미산정")</x:f>
        <x:v>266</x:v>
      </x:c>
    </x:row>
    <x:row r="25" ht="44" customHeight="1">
      <x:c r="A25" s="24" t="n">
        <x:v>15</x:v>
      </x:c>
      <x:c r="B25" s="24" t="str">
        <x:v>113동</x:v>
      </x:c>
      <x:c r="C25" s="13" t="str">
        <x:v>수직부 거푸집 설치</x:v>
      </x:c>
      <x:c r="D25" s="13" t="str">
        <x:v>EF-3012</x:v>
      </x:c>
      <x:c r="E25" s="13" t="str">
        <x:v>유로폼</x:v>
      </x:c>
      <x:c r="F25" s="13" t="str">
        <x:v>300×1,200mm</x:v>
      </x:c>
      <x:c r="G25" s="13" t="str">
        <x:v>장</x:v>
      </x:c>
      <x:c r="H25" s="17" t="n">
        <x:v>213</x:v>
      </x:c>
      <x:c r="I25" s="26" t="n">
        <x:v>48</x:v>
      </x:c>
      <x:c r="J25" s="26" t="n">
        <x:v>54</x:v>
      </x:c>
      <x:c r="K25" s="26" t="n">
        <x:v>47</x:v>
      </x:c>
      <x:c r="L25" s="13" t="str">
        <x:v>유로폼</x:v>
      </x:c>
      <x:c r="M25" s="13" t="str">
        <x:v>300x1200</x:v>
      </x:c>
      <x:c r="N25" s="24" t="str">
        <x:v>반영</x:v>
      </x:c>
      <x:c r="O25" s="29" t="n">
        <x:f>IF(AND(N25="반영",ISNUMBER(H25)),H25,"미산정")</x:f>
        <x:v>213</x:v>
      </x:c>
      <x:c r="P25" s="24" t="str">
        <x:v>해당 없음</x:v>
      </x:c>
      <x:c r="Q25" s="13" t="str">
        <x:v>등록 품목·규격과 일치</x:v>
      </x:c>
      <x:c r="R25" s="81" t="n">
        <x:f>K25</x:f>
        <x:v>47</x:v>
      </x:c>
      <x:c r="S25" s="83" t="n">
        <x:f>MAX(0,MIN(1,($B$15-I25+1)/(J25-I25+1)))</x:f>
        <x:v>0</x:v>
      </x:c>
      <x:c r="T25" s="87" t="n">
        <x:f>IF(ISNUMBER(O25),IF(R25&lt;=$B$15,O25,0),"미산정")</x:f>
        <x:v>0</x:v>
      </x:c>
      <x:c r="U25" s="87" t="n">
        <x:f>IF(ISNUMBER(O25),MIN(T25,ROUND(O25*S25,0)),"미산정")</x:f>
        <x:v>0</x:v>
      </x:c>
      <x:c r="V25" s="87" t="n">
        <x:f>IF(ISNUMBER(O25),T25-U25,"미산정")</x:f>
        <x:v>0</x:v>
      </x:c>
      <x:c r="W25" s="87" t="n">
        <x:f>IF(ISNUMBER(O25),O25-T25,"미산정")</x:f>
        <x:v>213</x:v>
      </x:c>
      <x:c r="X25" s="87" t="n">
        <x:f>IF(ISNUMBER(O25),O25-U25,"미산정")</x:f>
        <x:v>213</x:v>
      </x:c>
    </x:row>
    <x:row r="26" ht="44" customHeight="1">
      <x:c r="A26" s="25" t="n">
        <x:v>16</x:v>
      </x:c>
      <x:c r="B26" s="25" t="str">
        <x:v>113동</x:v>
      </x:c>
      <x:c r="C26" s="6" t="str">
        <x:v>수직부 거푸집 설치</x:v>
      </x:c>
      <x:c r="D26" s="6" t="str">
        <x:v>EF-5006</x:v>
      </x:c>
      <x:c r="E26" s="6" t="str">
        <x:v>유로폼</x:v>
      </x:c>
      <x:c r="F26" s="6" t="str">
        <x:v>500×600mm</x:v>
      </x:c>
      <x:c r="G26" s="6" t="str">
        <x:v>장</x:v>
      </x:c>
      <x:c r="H26" s="18" t="n">
        <x:v>128</x:v>
      </x:c>
      <x:c r="I26" s="27" t="n">
        <x:v>48</x:v>
      </x:c>
      <x:c r="J26" s="27" t="n">
        <x:v>54</x:v>
      </x:c>
      <x:c r="K26" s="27" t="n">
        <x:v>47</x:v>
      </x:c>
      <x:c r="L26" s="6" t="str">
        <x:v>미등록</x:v>
      </x:c>
      <x:c r="M26" s="6" t="str">
        <x:v>미산정</x:v>
      </x:c>
      <x:c r="N26" s="28" t="str">
        <x:v>미산정</x:v>
      </x:c>
      <x:c r="O26" s="31" t="str">
        <x:f>IF(AND(N26="반영",ISNUMBER(H26)),H26,"미산정")</x:f>
        <x:v>미산정</x:v>
      </x:c>
      <x:c r="P26" s="28" t="str">
        <x:v>해당 없음</x:v>
      </x:c>
      <x:c r="Q26" s="14" t="str">
        <x:v>유로폼 500×600은 현재 웹 등록 규격에 없음</x:v>
      </x:c>
      <x:c r="R26" s="81" t="n">
        <x:f>K26</x:f>
        <x:v>47</x:v>
      </x:c>
      <x:c r="S26" s="84" t="n">
        <x:f>MAX(0,MIN(1,($B$15-I26+1)/(J26-I26+1)))</x:f>
        <x:v>0</x:v>
      </x:c>
      <x:c r="T26" s="88" t="str">
        <x:f>IF(ISNUMBER(O26),IF(R26&lt;=$B$15,O26,0),"미산정")</x:f>
        <x:v>미산정</x:v>
      </x:c>
      <x:c r="U26" s="88" t="str">
        <x:f>IF(ISNUMBER(O26),MIN(T26,ROUND(O26*S26,0)),"미산정")</x:f>
        <x:v>미산정</x:v>
      </x:c>
      <x:c r="V26" s="88" t="str">
        <x:f>IF(ISNUMBER(O26),T26-U26,"미산정")</x:f>
        <x:v>미산정</x:v>
      </x:c>
      <x:c r="W26" s="88" t="str">
        <x:f>IF(ISNUMBER(O26),O26-T26,"미산정")</x:f>
        <x:v>미산정</x:v>
      </x:c>
      <x:c r="X26" s="88" t="str">
        <x:f>IF(ISNUMBER(O26),O26-U26,"미산정")</x:f>
        <x:v>미산정</x:v>
      </x:c>
    </x:row>
    <x:row r="27" ht="44" customHeight="1">
      <x:c r="A27" s="24" t="n">
        <x:v>17</x:v>
      </x:c>
      <x:c r="B27" s="24" t="str">
        <x:v>113동</x:v>
      </x:c>
      <x:c r="C27" s="13" t="str">
        <x:v>수직부 거푸집 설치</x:v>
      </x:c>
      <x:c r="D27" s="13" t="str">
        <x:v>PW-1224</x:v>
      </x:c>
      <x:c r="E27" s="13" t="str">
        <x:v>코팅합판</x:v>
      </x:c>
      <x:c r="F27" s="13" t="str">
        <x:v>1,220×2,440×12mm</x:v>
      </x:c>
      <x:c r="G27" s="13" t="str">
        <x:v>장</x:v>
      </x:c>
      <x:c r="H27" s="17" t="n">
        <x:v>12</x:v>
      </x:c>
      <x:c r="I27" s="26" t="n">
        <x:v>48</x:v>
      </x:c>
      <x:c r="J27" s="26" t="n">
        <x:v>54</x:v>
      </x:c>
      <x:c r="K27" s="26" t="n">
        <x:v>47</x:v>
      </x:c>
      <x:c r="L27" s="13" t="str">
        <x:v>미등록</x:v>
      </x:c>
      <x:c r="M27" s="13" t="str">
        <x:v>미산정</x:v>
      </x:c>
      <x:c r="N27" s="28" t="str">
        <x:v>미산정</x:v>
      </x:c>
      <x:c r="O27" s="31" t="str">
        <x:f>IF(AND(N27="반영",ISNUMBER(H27)),H27,"미산정")</x:f>
        <x:v>미산정</x:v>
      </x:c>
      <x:c r="P27" s="28" t="str">
        <x:v>해당 없음</x:v>
      </x:c>
      <x:c r="Q27" s="14" t="str">
        <x:v>현재 웹 등록 품목에 없음. 다른 품목으로 대체하지 않음</x:v>
      </x:c>
      <x:c r="R27" s="81" t="n">
        <x:f>K27</x:f>
        <x:v>47</x:v>
      </x:c>
      <x:c r="S27" s="83" t="n">
        <x:f>MAX(0,MIN(1,($B$15-I27+1)/(J27-I27+1)))</x:f>
        <x:v>0</x:v>
      </x:c>
      <x:c r="T27" s="87" t="str">
        <x:f>IF(ISNUMBER(O27),IF(R27&lt;=$B$15,O27,0),"미산정")</x:f>
        <x:v>미산정</x:v>
      </x:c>
      <x:c r="U27" s="87" t="str">
        <x:f>IF(ISNUMBER(O27),MIN(T27,ROUND(O27*S27,0)),"미산정")</x:f>
        <x:v>미산정</x:v>
      </x:c>
      <x:c r="V27" s="87" t="str">
        <x:f>IF(ISNUMBER(O27),T27-U27,"미산정")</x:f>
        <x:v>미산정</x:v>
      </x:c>
      <x:c r="W27" s="87" t="str">
        <x:f>IF(ISNUMBER(O27),O27-T27,"미산정")</x:f>
        <x:v>미산정</x:v>
      </x:c>
      <x:c r="X27" s="87" t="str">
        <x:f>IF(ISNUMBER(O27),O27-U27,"미산정")</x:f>
        <x:v>미산정</x:v>
      </x:c>
    </x:row>
    <x:row r="28" ht="44" customHeight="1">
      <x:c r="A28" s="25" t="n">
        <x:v>18</x:v>
      </x:c>
      <x:c r="B28" s="25" t="str">
        <x:v>113동</x:v>
      </x:c>
      <x:c r="C28" s="6" t="str">
        <x:v>수직부 거푸집 설치</x:v>
      </x:c>
      <x:c r="D28" s="6" t="str">
        <x:v>IC-1012</x:v>
      </x:c>
      <x:c r="E28" s="6" t="str">
        <x:v>인코너</x:v>
      </x:c>
      <x:c r="F28" s="6" t="str">
        <x:v>100×100×1,200mm</x:v>
      </x:c>
      <x:c r="G28" s="6" t="str">
        <x:v>개</x:v>
      </x:c>
      <x:c r="H28" s="18" t="n">
        <x:v>60</x:v>
      </x:c>
      <x:c r="I28" s="27" t="n">
        <x:v>48</x:v>
      </x:c>
      <x:c r="J28" s="27" t="n">
        <x:v>54</x:v>
      </x:c>
      <x:c r="K28" s="27" t="n">
        <x:v>47</x:v>
      </x:c>
      <x:c r="L28" s="6" t="str">
        <x:v>미등록</x:v>
      </x:c>
      <x:c r="M28" s="6" t="str">
        <x:v>미산정</x:v>
      </x:c>
      <x:c r="N28" s="28" t="str">
        <x:v>미산정</x:v>
      </x:c>
      <x:c r="O28" s="31" t="str">
        <x:f>IF(AND(N28="반영",ISNUMBER(H28)),H28,"미산정")</x:f>
        <x:v>미산정</x:v>
      </x:c>
      <x:c r="P28" s="28" t="str">
        <x:v>해당 없음</x:v>
      </x:c>
      <x:c r="Q28" s="14" t="str">
        <x:v>현재 웹 등록 품목에 없음. 다른 품목으로 대체하지 않음</x:v>
      </x:c>
      <x:c r="R28" s="81" t="n">
        <x:f>K28</x:f>
        <x:v>47</x:v>
      </x:c>
      <x:c r="S28" s="84" t="n">
        <x:f>MAX(0,MIN(1,($B$15-I28+1)/(J28-I28+1)))</x:f>
        <x:v>0</x:v>
      </x:c>
      <x:c r="T28" s="88" t="str">
        <x:f>IF(ISNUMBER(O28),IF(R28&lt;=$B$15,O28,0),"미산정")</x:f>
        <x:v>미산정</x:v>
      </x:c>
      <x:c r="U28" s="88" t="str">
        <x:f>IF(ISNUMBER(O28),MIN(T28,ROUND(O28*S28,0)),"미산정")</x:f>
        <x:v>미산정</x:v>
      </x:c>
      <x:c r="V28" s="88" t="str">
        <x:f>IF(ISNUMBER(O28),T28-U28,"미산정")</x:f>
        <x:v>미산정</x:v>
      </x:c>
      <x:c r="W28" s="88" t="str">
        <x:f>IF(ISNUMBER(O28),O28-T28,"미산정")</x:f>
        <x:v>미산정</x:v>
      </x:c>
      <x:c r="X28" s="88" t="str">
        <x:f>IF(ISNUMBER(O28),O28-U28,"미산정")</x:f>
        <x:v>미산정</x:v>
      </x:c>
    </x:row>
    <x:row r="29" ht="44" customHeight="1">
      <x:c r="A29" s="24" t="n">
        <x:v>19</x:v>
      </x:c>
      <x:c r="B29" s="24" t="str">
        <x:v>113동</x:v>
      </x:c>
      <x:c r="C29" s="13" t="str">
        <x:v>수직부 거푸집 설치</x:v>
      </x:c>
      <x:c r="D29" s="13" t="str">
        <x:v>OC-12</x:v>
      </x:c>
      <x:c r="E29" s="13" t="str">
        <x:v>아웃코너</x:v>
      </x:c>
      <x:c r="F29" s="13" t="str">
        <x:v>길이 1,200mm</x:v>
      </x:c>
      <x:c r="G29" s="13" t="str">
        <x:v>개</x:v>
      </x:c>
      <x:c r="H29" s="17" t="n">
        <x:v>320</x:v>
      </x:c>
      <x:c r="I29" s="26" t="n">
        <x:v>48</x:v>
      </x:c>
      <x:c r="J29" s="26" t="n">
        <x:v>54</x:v>
      </x:c>
      <x:c r="K29" s="26" t="n">
        <x:v>47</x:v>
      </x:c>
      <x:c r="L29" s="13" t="str">
        <x:v>미등록</x:v>
      </x:c>
      <x:c r="M29" s="13" t="str">
        <x:v>미산정</x:v>
      </x:c>
      <x:c r="N29" s="28" t="str">
        <x:v>미산정</x:v>
      </x:c>
      <x:c r="O29" s="31" t="str">
        <x:f>IF(AND(N29="반영",ISNUMBER(H29)),H29,"미산정")</x:f>
        <x:v>미산정</x:v>
      </x:c>
      <x:c r="P29" s="28" t="str">
        <x:v>해당 없음</x:v>
      </x:c>
      <x:c r="Q29" s="14" t="str">
        <x:v>현재 웹 등록 품목에 없음. 다른 품목으로 대체하지 않음</x:v>
      </x:c>
      <x:c r="R29" s="81" t="n">
        <x:f>K29</x:f>
        <x:v>47</x:v>
      </x:c>
      <x:c r="S29" s="83" t="n">
        <x:f>MAX(0,MIN(1,($B$15-I29+1)/(J29-I29+1)))</x:f>
        <x:v>0</x:v>
      </x:c>
      <x:c r="T29" s="87" t="str">
        <x:f>IF(ISNUMBER(O29),IF(R29&lt;=$B$15,O29,0),"미산정")</x:f>
        <x:v>미산정</x:v>
      </x:c>
      <x:c r="U29" s="87" t="str">
        <x:f>IF(ISNUMBER(O29),MIN(T29,ROUND(O29*S29,0)),"미산정")</x:f>
        <x:v>미산정</x:v>
      </x:c>
      <x:c r="V29" s="87" t="str">
        <x:f>IF(ISNUMBER(O29),T29-U29,"미산정")</x:f>
        <x:v>미산정</x:v>
      </x:c>
      <x:c r="W29" s="87" t="str">
        <x:f>IF(ISNUMBER(O29),O29-T29,"미산정")</x:f>
        <x:v>미산정</x:v>
      </x:c>
      <x:c r="X29" s="87" t="str">
        <x:f>IF(ISNUMBER(O29),O29-U29,"미산정")</x:f>
        <x:v>미산정</x:v>
      </x:c>
    </x:row>
    <x:row r="30" ht="44" customHeight="1">
      <x:c r="A30" s="25" t="n">
        <x:v>20</x:v>
      </x:c>
      <x:c r="B30" s="25" t="str">
        <x:v>113동</x:v>
      </x:c>
      <x:c r="C30" s="6" t="str">
        <x:v>시스템동바리 조립</x:v>
      </x:c>
      <x:c r="D30" s="6" t="str">
        <x:v>SV-1725</x:v>
      </x:c>
      <x:c r="E30" s="6" t="str">
        <x:v>수직재</x:v>
      </x:c>
      <x:c r="F30" s="6" t="str">
        <x:v>Ø60.5 / L=1,725mm</x:v>
      </x:c>
      <x:c r="G30" s="6" t="str">
        <x:v>본</x:v>
      </x:c>
      <x:c r="H30" s="18" t="n">
        <x:v>843</x:v>
      </x:c>
      <x:c r="I30" s="27" t="n">
        <x:v>55</x:v>
      </x:c>
      <x:c r="J30" s="27" t="n">
        <x:v>57</x:v>
      </x:c>
      <x:c r="K30" s="27" t="n">
        <x:v>54</x:v>
      </x:c>
      <x:c r="L30" s="6" t="str">
        <x:v>미등록</x:v>
      </x:c>
      <x:c r="M30" s="6" t="str">
        <x:v>미산정</x:v>
      </x:c>
      <x:c r="N30" s="28" t="str">
        <x:v>미산정</x:v>
      </x:c>
      <x:c r="O30" s="31" t="str">
        <x:f>IF(AND(N30="반영",ISNUMBER(H30)),H30,"미산정")</x:f>
        <x:v>미산정</x:v>
      </x:c>
      <x:c r="P30" s="28" t="str">
        <x:v>해당 없음</x:v>
      </x:c>
      <x:c r="Q30" s="14" t="str">
        <x:v>원자료 치수·DSD 코드와 웹 P·H·OB 규격의 동일성 미확인</x:v>
      </x:c>
      <x:c r="R30" s="81" t="n">
        <x:f>K30</x:f>
        <x:v>54</x:v>
      </x:c>
      <x:c r="S30" s="84" t="n">
        <x:f>MAX(0,MIN(1,($B$15-I30+1)/(J30-I30+1)))</x:f>
        <x:v>0</x:v>
      </x:c>
      <x:c r="T30" s="88" t="str">
        <x:f>IF(ISNUMBER(O30),IF(R30&lt;=$B$15,O30,0),"미산정")</x:f>
        <x:v>미산정</x:v>
      </x:c>
      <x:c r="U30" s="88" t="str">
        <x:f>IF(ISNUMBER(O30),MIN(T30,ROUND(O30*S30,0)),"미산정")</x:f>
        <x:v>미산정</x:v>
      </x:c>
      <x:c r="V30" s="88" t="str">
        <x:f>IF(ISNUMBER(O30),T30-U30,"미산정")</x:f>
        <x:v>미산정</x:v>
      </x:c>
      <x:c r="W30" s="88" t="str">
        <x:f>IF(ISNUMBER(O30),O30-T30,"미산정")</x:f>
        <x:v>미산정</x:v>
      </x:c>
      <x:c r="X30" s="88" t="str">
        <x:f>IF(ISNUMBER(O30),O30-U30,"미산정")</x:f>
        <x:v>미산정</x:v>
      </x:c>
    </x:row>
    <x:row r="31" ht="44" customHeight="1">
      <x:c r="A31" s="24" t="n">
        <x:v>21</x:v>
      </x:c>
      <x:c r="B31" s="24" t="str">
        <x:v>113동</x:v>
      </x:c>
      <x:c r="C31" s="13" t="str">
        <x:v>시스템동바리 조립</x:v>
      </x:c>
      <x:c r="D31" s="13" t="str">
        <x:v>SV-1291</x:v>
      </x:c>
      <x:c r="E31" s="13" t="str">
        <x:v>수직재</x:v>
      </x:c>
      <x:c r="F31" s="13" t="str">
        <x:v>Ø60.5 / L=1,291mm</x:v>
      </x:c>
      <x:c r="G31" s="13" t="str">
        <x:v>본</x:v>
      </x:c>
      <x:c r="H31" s="17" t="n">
        <x:v>165</x:v>
      </x:c>
      <x:c r="I31" s="26" t="n">
        <x:v>55</x:v>
      </x:c>
      <x:c r="J31" s="26" t="n">
        <x:v>57</x:v>
      </x:c>
      <x:c r="K31" s="26" t="n">
        <x:v>54</x:v>
      </x:c>
      <x:c r="L31" s="13" t="str">
        <x:v>미등록</x:v>
      </x:c>
      <x:c r="M31" s="13" t="str">
        <x:v>미산정</x:v>
      </x:c>
      <x:c r="N31" s="28" t="str">
        <x:v>미산정</x:v>
      </x:c>
      <x:c r="O31" s="31" t="str">
        <x:f>IF(AND(N31="반영",ISNUMBER(H31)),H31,"미산정")</x:f>
        <x:v>미산정</x:v>
      </x:c>
      <x:c r="P31" s="28" t="str">
        <x:v>해당 없음</x:v>
      </x:c>
      <x:c r="Q31" s="14" t="str">
        <x:v>원자료 치수·DSD 코드와 웹 P·H·OB 규격의 동일성 미확인</x:v>
      </x:c>
      <x:c r="R31" s="81" t="n">
        <x:f>K31</x:f>
        <x:v>54</x:v>
      </x:c>
      <x:c r="S31" s="83" t="n">
        <x:f>MAX(0,MIN(1,($B$15-I31+1)/(J31-I31+1)))</x:f>
        <x:v>0</x:v>
      </x:c>
      <x:c r="T31" s="87" t="str">
        <x:f>IF(ISNUMBER(O31),IF(R31&lt;=$B$15,O31,0),"미산정")</x:f>
        <x:v>미산정</x:v>
      </x:c>
      <x:c r="U31" s="87" t="str">
        <x:f>IF(ISNUMBER(O31),MIN(T31,ROUND(O31*S31,0)),"미산정")</x:f>
        <x:v>미산정</x:v>
      </x:c>
      <x:c r="V31" s="87" t="str">
        <x:f>IF(ISNUMBER(O31),T31-U31,"미산정")</x:f>
        <x:v>미산정</x:v>
      </x:c>
      <x:c r="W31" s="87" t="str">
        <x:f>IF(ISNUMBER(O31),O31-T31,"미산정")</x:f>
        <x:v>미산정</x:v>
      </x:c>
      <x:c r="X31" s="87" t="str">
        <x:f>IF(ISNUMBER(O31),O31-U31,"미산정")</x:f>
        <x:v>미산정</x:v>
      </x:c>
    </x:row>
    <x:row r="32" ht="44" customHeight="1">
      <x:c r="A32" s="25" t="n">
        <x:v>22</x:v>
      </x:c>
      <x:c r="B32" s="25" t="str">
        <x:v>113동</x:v>
      </x:c>
      <x:c r="C32" s="6" t="str">
        <x:v>시스템동바리 조립</x:v>
      </x:c>
      <x:c r="D32" s="6" t="str">
        <x:v>SV-0863</x:v>
      </x:c>
      <x:c r="E32" s="6" t="str">
        <x:v>수직재</x:v>
      </x:c>
      <x:c r="F32" s="6" t="str">
        <x:v>Ø60.5 / L=863mm</x:v>
      </x:c>
      <x:c r="G32" s="6" t="str">
        <x:v>본</x:v>
      </x:c>
      <x:c r="H32" s="18" t="n">
        <x:v>504</x:v>
      </x:c>
      <x:c r="I32" s="27" t="n">
        <x:v>55</x:v>
      </x:c>
      <x:c r="J32" s="27" t="n">
        <x:v>57</x:v>
      </x:c>
      <x:c r="K32" s="27" t="n">
        <x:v>54</x:v>
      </x:c>
      <x:c r="L32" s="6" t="str">
        <x:v>미등록</x:v>
      </x:c>
      <x:c r="M32" s="6" t="str">
        <x:v>미산정</x:v>
      </x:c>
      <x:c r="N32" s="28" t="str">
        <x:v>미산정</x:v>
      </x:c>
      <x:c r="O32" s="31" t="str">
        <x:f>IF(AND(N32="반영",ISNUMBER(H32)),H32,"미산정")</x:f>
        <x:v>미산정</x:v>
      </x:c>
      <x:c r="P32" s="28" t="str">
        <x:v>해당 없음</x:v>
      </x:c>
      <x:c r="Q32" s="14" t="str">
        <x:v>원자료 치수·DSD 코드와 웹 P·H·OB 규격의 동일성 미확인</x:v>
      </x:c>
      <x:c r="R32" s="81" t="n">
        <x:f>K32</x:f>
        <x:v>54</x:v>
      </x:c>
      <x:c r="S32" s="84" t="n">
        <x:f>MAX(0,MIN(1,($B$15-I32+1)/(J32-I32+1)))</x:f>
        <x:v>0</x:v>
      </x:c>
      <x:c r="T32" s="88" t="str">
        <x:f>IF(ISNUMBER(O32),IF(R32&lt;=$B$15,O32,0),"미산정")</x:f>
        <x:v>미산정</x:v>
      </x:c>
      <x:c r="U32" s="88" t="str">
        <x:f>IF(ISNUMBER(O32),MIN(T32,ROUND(O32*S32,0)),"미산정")</x:f>
        <x:v>미산정</x:v>
      </x:c>
      <x:c r="V32" s="88" t="str">
        <x:f>IF(ISNUMBER(O32),T32-U32,"미산정")</x:f>
        <x:v>미산정</x:v>
      </x:c>
      <x:c r="W32" s="88" t="str">
        <x:f>IF(ISNUMBER(O32),O32-T32,"미산정")</x:f>
        <x:v>미산정</x:v>
      </x:c>
      <x:c r="X32" s="88" t="str">
        <x:f>IF(ISNUMBER(O32),O32-U32,"미산정")</x:f>
        <x:v>미산정</x:v>
      </x:c>
    </x:row>
    <x:row r="33" ht="44" customHeight="1">
      <x:c r="A33" s="24" t="n">
        <x:v>23</x:v>
      </x:c>
      <x:c r="B33" s="24" t="str">
        <x:v>113동</x:v>
      </x:c>
      <x:c r="C33" s="13" t="str">
        <x:v>시스템동바리 조립</x:v>
      </x:c>
      <x:c r="D33" s="13" t="str">
        <x:v>SH-1219</x:v>
      </x:c>
      <x:c r="E33" s="13" t="str">
        <x:v>수평재</x:v>
      </x:c>
      <x:c r="F33" s="13" t="str">
        <x:v>Ø42.7 / 호칭 L=1,219mm</x:v>
      </x:c>
      <x:c r="G33" s="13" t="str">
        <x:v>본</x:v>
      </x:c>
      <x:c r="H33" s="17" t="n">
        <x:v>3852</x:v>
      </x:c>
      <x:c r="I33" s="26" t="n">
        <x:v>55</x:v>
      </x:c>
      <x:c r="J33" s="26" t="n">
        <x:v>57</x:v>
      </x:c>
      <x:c r="K33" s="26" t="n">
        <x:v>54</x:v>
      </x:c>
      <x:c r="L33" s="13" t="str">
        <x:v>미등록</x:v>
      </x:c>
      <x:c r="M33" s="13" t="str">
        <x:v>미산정</x:v>
      </x:c>
      <x:c r="N33" s="28" t="str">
        <x:v>미산정</x:v>
      </x:c>
      <x:c r="O33" s="31" t="str">
        <x:f>IF(AND(N33="반영",ISNUMBER(H33)),H33,"미산정")</x:f>
        <x:v>미산정</x:v>
      </x:c>
      <x:c r="P33" s="28" t="str">
        <x:v>해당 없음</x:v>
      </x:c>
      <x:c r="Q33" s="14" t="str">
        <x:v>원자료 치수·DSD 코드와 웹 P·H·OB 규격의 동일성 미확인</x:v>
      </x:c>
      <x:c r="R33" s="81" t="n">
        <x:f>K33</x:f>
        <x:v>54</x:v>
      </x:c>
      <x:c r="S33" s="83" t="n">
        <x:f>MAX(0,MIN(1,($B$15-I33+1)/(J33-I33+1)))</x:f>
        <x:v>0</x:v>
      </x:c>
      <x:c r="T33" s="87" t="str">
        <x:f>IF(ISNUMBER(O33),IF(R33&lt;=$B$15,O33,0),"미산정")</x:f>
        <x:v>미산정</x:v>
      </x:c>
      <x:c r="U33" s="87" t="str">
        <x:f>IF(ISNUMBER(O33),MIN(T33,ROUND(O33*S33,0)),"미산정")</x:f>
        <x:v>미산정</x:v>
      </x:c>
      <x:c r="V33" s="87" t="str">
        <x:f>IF(ISNUMBER(O33),T33-U33,"미산정")</x:f>
        <x:v>미산정</x:v>
      </x:c>
      <x:c r="W33" s="87" t="str">
        <x:f>IF(ISNUMBER(O33),O33-T33,"미산정")</x:f>
        <x:v>미산정</x:v>
      </x:c>
      <x:c r="X33" s="87" t="str">
        <x:f>IF(ISNUMBER(O33),O33-U33,"미산정")</x:f>
        <x:v>미산정</x:v>
      </x:c>
    </x:row>
    <x:row r="34" ht="44" customHeight="1">
      <x:c r="A34" s="25" t="n">
        <x:v>24</x:v>
      </x:c>
      <x:c r="B34" s="25" t="str">
        <x:v>113동</x:v>
      </x:c>
      <x:c r="C34" s="6" t="str">
        <x:v>시스템동바리 조립</x:v>
      </x:c>
      <x:c r="D34" s="6" t="str">
        <x:v>SB-1712</x:v>
      </x:c>
      <x:c r="E34" s="6" t="str">
        <x:v>가새재</x:v>
      </x:c>
      <x:c r="F34" s="6" t="str">
        <x:v>DSD-1712 / L=1,974mm</x:v>
      </x:c>
      <x:c r="G34" s="6" t="str">
        <x:v>본</x:v>
      </x:c>
      <x:c r="H34" s="18" t="n">
        <x:v>404</x:v>
      </x:c>
      <x:c r="I34" s="27" t="n">
        <x:v>55</x:v>
      </x:c>
      <x:c r="J34" s="27" t="n">
        <x:v>57</x:v>
      </x:c>
      <x:c r="K34" s="27" t="n">
        <x:v>54</x:v>
      </x:c>
      <x:c r="L34" s="6" t="str">
        <x:v>미등록</x:v>
      </x:c>
      <x:c r="M34" s="6" t="str">
        <x:v>미산정</x:v>
      </x:c>
      <x:c r="N34" s="28" t="str">
        <x:v>미산정</x:v>
      </x:c>
      <x:c r="O34" s="31" t="str">
        <x:f>IF(AND(N34="반영",ISNUMBER(H34)),H34,"미산정")</x:f>
        <x:v>미산정</x:v>
      </x:c>
      <x:c r="P34" s="28" t="str">
        <x:v>해당 없음</x:v>
      </x:c>
      <x:c r="Q34" s="14" t="str">
        <x:v>원자료 치수·DSD 코드와 웹 P·H·OB 규격의 동일성 미확인</x:v>
      </x:c>
      <x:c r="R34" s="81" t="n">
        <x:f>K34</x:f>
        <x:v>54</x:v>
      </x:c>
      <x:c r="S34" s="84" t="n">
        <x:f>MAX(0,MIN(1,($B$15-I34+1)/(J34-I34+1)))</x:f>
        <x:v>0</x:v>
      </x:c>
      <x:c r="T34" s="88" t="str">
        <x:f>IF(ISNUMBER(O34),IF(R34&lt;=$B$15,O34,0),"미산정")</x:f>
        <x:v>미산정</x:v>
      </x:c>
      <x:c r="U34" s="88" t="str">
        <x:f>IF(ISNUMBER(O34),MIN(T34,ROUND(O34*S34,0)),"미산정")</x:f>
        <x:v>미산정</x:v>
      </x:c>
      <x:c r="V34" s="88" t="str">
        <x:f>IF(ISNUMBER(O34),T34-U34,"미산정")</x:f>
        <x:v>미산정</x:v>
      </x:c>
      <x:c r="W34" s="88" t="str">
        <x:f>IF(ISNUMBER(O34),O34-T34,"미산정")</x:f>
        <x:v>미산정</x:v>
      </x:c>
      <x:c r="X34" s="88" t="str">
        <x:f>IF(ISNUMBER(O34),O34-U34,"미산정")</x:f>
        <x:v>미산정</x:v>
      </x:c>
    </x:row>
    <x:row r="35" ht="44" customHeight="1">
      <x:c r="A35" s="24" t="n">
        <x:v>25</x:v>
      </x:c>
      <x:c r="B35" s="24" t="str">
        <x:v>113동</x:v>
      </x:c>
      <x:c r="C35" s="13" t="str">
        <x:v>시스템동바리 조립</x:v>
      </x:c>
      <x:c r="D35" s="13" t="str">
        <x:v>SB-1212</x:v>
      </x:c>
      <x:c r="E35" s="13" t="str">
        <x:v>가새재</x:v>
      </x:c>
      <x:c r="F35" s="13" t="str">
        <x:v>DSD-1212 / L=1,609mm</x:v>
      </x:c>
      <x:c r="G35" s="13" t="str">
        <x:v>본</x:v>
      </x:c>
      <x:c r="H35" s="17" t="n">
        <x:v>79</x:v>
      </x:c>
      <x:c r="I35" s="26" t="n">
        <x:v>55</x:v>
      </x:c>
      <x:c r="J35" s="26" t="n">
        <x:v>57</x:v>
      </x:c>
      <x:c r="K35" s="26" t="n">
        <x:v>54</x:v>
      </x:c>
      <x:c r="L35" s="13" t="str">
        <x:v>미등록</x:v>
      </x:c>
      <x:c r="M35" s="13" t="str">
        <x:v>미산정</x:v>
      </x:c>
      <x:c r="N35" s="28" t="str">
        <x:v>미산정</x:v>
      </x:c>
      <x:c r="O35" s="31" t="str">
        <x:f>IF(AND(N35="반영",ISNUMBER(H35)),H35,"미산정")</x:f>
        <x:v>미산정</x:v>
      </x:c>
      <x:c r="P35" s="28" t="str">
        <x:v>해당 없음</x:v>
      </x:c>
      <x:c r="Q35" s="14" t="str">
        <x:v>원자료 치수·DSD 코드와 웹 P·H·OB 규격의 동일성 미확인</x:v>
      </x:c>
      <x:c r="R35" s="81" t="n">
        <x:f>K35</x:f>
        <x:v>54</x:v>
      </x:c>
      <x:c r="S35" s="83" t="n">
        <x:f>MAX(0,MIN(1,($B$15-I35+1)/(J35-I35+1)))</x:f>
        <x:v>0</x:v>
      </x:c>
      <x:c r="T35" s="87" t="str">
        <x:f>IF(ISNUMBER(O35),IF(R35&lt;=$B$15,O35,0),"미산정")</x:f>
        <x:v>미산정</x:v>
      </x:c>
      <x:c r="U35" s="87" t="str">
        <x:f>IF(ISNUMBER(O35),MIN(T35,ROUND(O35*S35,0)),"미산정")</x:f>
        <x:v>미산정</x:v>
      </x:c>
      <x:c r="V35" s="87" t="str">
        <x:f>IF(ISNUMBER(O35),T35-U35,"미산정")</x:f>
        <x:v>미산정</x:v>
      </x:c>
      <x:c r="W35" s="87" t="str">
        <x:f>IF(ISNUMBER(O35),O35-T35,"미산정")</x:f>
        <x:v>미산정</x:v>
      </x:c>
      <x:c r="X35" s="87" t="str">
        <x:f>IF(ISNUMBER(O35),O35-U35,"미산정")</x:f>
        <x:v>미산정</x:v>
      </x:c>
    </x:row>
    <x:row r="36" ht="44" customHeight="1">
      <x:c r="A36" s="25" t="n">
        <x:v>26</x:v>
      </x:c>
      <x:c r="B36" s="25" t="str">
        <x:v>113동</x:v>
      </x:c>
      <x:c r="C36" s="6" t="str">
        <x:v>시스템동바리 조립</x:v>
      </x:c>
      <x:c r="D36" s="6" t="str">
        <x:v>SB-0812</x:v>
      </x:c>
      <x:c r="E36" s="6" t="str">
        <x:v>가새재</x:v>
      </x:c>
      <x:c r="F36" s="6" t="str">
        <x:v>DSD-0812 / L=1,290mm</x:v>
      </x:c>
      <x:c r="G36" s="6" t="str">
        <x:v>본</x:v>
      </x:c>
      <x:c r="H36" s="18" t="n">
        <x:v>241</x:v>
      </x:c>
      <x:c r="I36" s="27" t="n">
        <x:v>55</x:v>
      </x:c>
      <x:c r="J36" s="27" t="n">
        <x:v>57</x:v>
      </x:c>
      <x:c r="K36" s="27" t="n">
        <x:v>54</x:v>
      </x:c>
      <x:c r="L36" s="6" t="str">
        <x:v>미등록</x:v>
      </x:c>
      <x:c r="M36" s="6" t="str">
        <x:v>미산정</x:v>
      </x:c>
      <x:c r="N36" s="28" t="str">
        <x:v>미산정</x:v>
      </x:c>
      <x:c r="O36" s="31" t="str">
        <x:f>IF(AND(N36="반영",ISNUMBER(H36)),H36,"미산정")</x:f>
        <x:v>미산정</x:v>
      </x:c>
      <x:c r="P36" s="28" t="str">
        <x:v>해당 없음</x:v>
      </x:c>
      <x:c r="Q36" s="14" t="str">
        <x:v>원자료 치수·DSD 코드와 웹 P·H·OB 규격의 동일성 미확인</x:v>
      </x:c>
      <x:c r="R36" s="81" t="n">
        <x:f>K36</x:f>
        <x:v>54</x:v>
      </x:c>
      <x:c r="S36" s="84" t="n">
        <x:f>MAX(0,MIN(1,($B$15-I36+1)/(J36-I36+1)))</x:f>
        <x:v>0</x:v>
      </x:c>
      <x:c r="T36" s="88" t="str">
        <x:f>IF(ISNUMBER(O36),IF(R36&lt;=$B$15,O36,0),"미산정")</x:f>
        <x:v>미산정</x:v>
      </x:c>
      <x:c r="U36" s="88" t="str">
        <x:f>IF(ISNUMBER(O36),MIN(T36,ROUND(O36*S36,0)),"미산정")</x:f>
        <x:v>미산정</x:v>
      </x:c>
      <x:c r="V36" s="88" t="str">
        <x:f>IF(ISNUMBER(O36),T36-U36,"미산정")</x:f>
        <x:v>미산정</x:v>
      </x:c>
      <x:c r="W36" s="88" t="str">
        <x:f>IF(ISNUMBER(O36),O36-T36,"미산정")</x:f>
        <x:v>미산정</x:v>
      </x:c>
      <x:c r="X36" s="88" t="str">
        <x:f>IF(ISNUMBER(O36),O36-U36,"미산정")</x:f>
        <x:v>미산정</x:v>
      </x:c>
    </x:row>
    <x:row r="37" ht="44" customHeight="1">
      <x:c r="A37" s="24" t="n">
        <x:v>27</x:v>
      </x:c>
      <x:c r="B37" s="24" t="str">
        <x:v>113동</x:v>
      </x:c>
      <x:c r="C37" s="13" t="str">
        <x:v>시스템동바리 조립</x:v>
      </x:c>
      <x:c r="D37" s="13" t="str">
        <x:v>UJ-600</x:v>
      </x:c>
      <x:c r="E37" s="13" t="str">
        <x:v>U헤드 잭</x:v>
      </x:c>
      <x:c r="F37" s="13" t="str">
        <x:v>Ø45 / L=600mm</x:v>
      </x:c>
      <x:c r="G37" s="13" t="str">
        <x:v>개</x:v>
      </x:c>
      <x:c r="H37" s="17" t="n">
        <x:v>504</x:v>
      </x:c>
      <x:c r="I37" s="26" t="n">
        <x:v>55</x:v>
      </x:c>
      <x:c r="J37" s="26" t="n">
        <x:v>57</x:v>
      </x:c>
      <x:c r="K37" s="26" t="n">
        <x:v>54</x:v>
      </x:c>
      <x:c r="L37" s="13" t="str">
        <x:v>시스템서포트</x:v>
      </x:c>
      <x:c r="M37" s="13" t="str">
        <x:v>동바리 상부자키</x:v>
      </x:c>
      <x:c r="N37" s="24" t="str">
        <x:v>반영</x:v>
      </x:c>
      <x:c r="O37" s="29" t="n">
        <x:f>IF(AND(N37="반영",ISNUMBER(H37)),H37,"미산정")</x:f>
        <x:v>504</x:v>
      </x:c>
      <x:c r="P37" s="24" t="str">
        <x:v>해당 없음</x:v>
      </x:c>
      <x:c r="Q37" s="13" t="str">
        <x:v>U헤드 잭 → 등록된 동바리 상부자키. 원자료 치수 별도 보존</x:v>
      </x:c>
      <x:c r="R37" s="81" t="n">
        <x:f>K37</x:f>
        <x:v>54</x:v>
      </x:c>
      <x:c r="S37" s="83" t="n">
        <x:f>MAX(0,MIN(1,($B$15-I37+1)/(J37-I37+1)))</x:f>
        <x:v>0</x:v>
      </x:c>
      <x:c r="T37" s="87" t="n">
        <x:f>IF(ISNUMBER(O37),IF(R37&lt;=$B$15,O37,0),"미산정")</x:f>
        <x:v>0</x:v>
      </x:c>
      <x:c r="U37" s="87" t="n">
        <x:f>IF(ISNUMBER(O37),MIN(T37,ROUND(O37*S37,0)),"미산정")</x:f>
        <x:v>0</x:v>
      </x:c>
      <x:c r="V37" s="87" t="n">
        <x:f>IF(ISNUMBER(O37),T37-U37,"미산정")</x:f>
        <x:v>0</x:v>
      </x:c>
      <x:c r="W37" s="87" t="n">
        <x:f>IF(ISNUMBER(O37),O37-T37,"미산정")</x:f>
        <x:v>504</x:v>
      </x:c>
      <x:c r="X37" s="87" t="n">
        <x:f>IF(ISNUMBER(O37),O37-U37,"미산정")</x:f>
        <x:v>504</x:v>
      </x:c>
    </x:row>
    <x:row r="38" ht="44" customHeight="1">
      <x:c r="A38" s="25" t="n">
        <x:v>28</x:v>
      </x:c>
      <x:c r="B38" s="25" t="str">
        <x:v>113동</x:v>
      </x:c>
      <x:c r="C38" s="6" t="str">
        <x:v>시스템동바리 조립</x:v>
      </x:c>
      <x:c r="D38" s="6" t="str">
        <x:v>BJ-600</x:v>
      </x:c>
      <x:c r="E38" s="6" t="str">
        <x:v>베이스 잭</x:v>
      </x:c>
      <x:c r="F38" s="6" t="str">
        <x:v>Ø45 / L=600mm</x:v>
      </x:c>
      <x:c r="G38" s="6" t="str">
        <x:v>개</x:v>
      </x:c>
      <x:c r="H38" s="18" t="n">
        <x:v>504</x:v>
      </x:c>
      <x:c r="I38" s="27" t="n">
        <x:v>55</x:v>
      </x:c>
      <x:c r="J38" s="27" t="n">
        <x:v>57</x:v>
      </x:c>
      <x:c r="K38" s="27" t="n">
        <x:v>54</x:v>
      </x:c>
      <x:c r="L38" s="6" t="str">
        <x:v>시스템서포트</x:v>
      </x:c>
      <x:c r="M38" s="6" t="str">
        <x:v>동바리 하부자키</x:v>
      </x:c>
      <x:c r="N38" s="25" t="str">
        <x:v>반영</x:v>
      </x:c>
      <x:c r="O38" s="30" t="n">
        <x:f>IF(AND(N38="반영",ISNUMBER(H38)),H38,"미산정")</x:f>
        <x:v>504</x:v>
      </x:c>
      <x:c r="P38" s="25" t="str">
        <x:v>해당 없음</x:v>
      </x:c>
      <x:c r="Q38" s="6" t="str">
        <x:v>베이스 잭 → 등록된 동바리 하부자키. 원자료 치수 별도 보존</x:v>
      </x:c>
      <x:c r="R38" s="81" t="n">
        <x:f>K38</x:f>
        <x:v>54</x:v>
      </x:c>
      <x:c r="S38" s="84" t="n">
        <x:f>MAX(0,MIN(1,($B$15-I38+1)/(J38-I38+1)))</x:f>
        <x:v>0</x:v>
      </x:c>
      <x:c r="T38" s="88" t="n">
        <x:f>IF(ISNUMBER(O38),IF(R38&lt;=$B$15,O38,0),"미산정")</x:f>
        <x:v>0</x:v>
      </x:c>
      <x:c r="U38" s="88" t="n">
        <x:f>IF(ISNUMBER(O38),MIN(T38,ROUND(O38*S38,0)),"미산정")</x:f>
        <x:v>0</x:v>
      </x:c>
      <x:c r="V38" s="88" t="n">
        <x:f>IF(ISNUMBER(O38),T38-U38,"미산정")</x:f>
        <x:v>0</x:v>
      </x:c>
      <x:c r="W38" s="88" t="n">
        <x:f>IF(ISNUMBER(O38),O38-T38,"미산정")</x:f>
        <x:v>504</x:v>
      </x:c>
      <x:c r="X38" s="88" t="n">
        <x:f>IF(ISNUMBER(O38),O38-U38,"미산정")</x:f>
        <x:v>504</x:v>
      </x:c>
    </x:row>
    <x:row r="39" ht="44" customHeight="1">
      <x:c r="A39" s="24" t="n">
        <x:v>29</x:v>
      </x:c>
      <x:c r="B39" s="24" t="str">
        <x:v>113동</x:v>
      </x:c>
      <x:c r="C39" s="13" t="str">
        <x:v>시스템동바리 조립</x:v>
      </x:c>
      <x:c r="D39" s="13" t="str">
        <x:v>CP-120</x:v>
      </x:c>
      <x:c r="E39" s="13" t="str">
        <x:v>연결 카프링</x:v>
      </x:c>
      <x:c r="F39" s="13" t="str">
        <x:v>Ø60.5 / L=120mm</x:v>
      </x:c>
      <x:c r="G39" s="13" t="str">
        <x:v>개</x:v>
      </x:c>
      <x:c r="H39" s="17" t="n">
        <x:v>1008</x:v>
      </x:c>
      <x:c r="I39" s="26" t="n">
        <x:v>55</x:v>
      </x:c>
      <x:c r="J39" s="26" t="n">
        <x:v>57</x:v>
      </x:c>
      <x:c r="K39" s="26" t="n">
        <x:v>54</x:v>
      </x:c>
      <x:c r="L39" s="13" t="str">
        <x:v>시스템서포트</x:v>
      </x:c>
      <x:c r="M39" s="13" t="str">
        <x:v>카플링(소켓)</x:v>
      </x:c>
      <x:c r="N39" s="24" t="str">
        <x:v>반영</x:v>
      </x:c>
      <x:c r="O39" s="29" t="n">
        <x:f>IF(AND(N39="반영",ISNUMBER(H39)),H39,"미산정")</x:f>
        <x:v>1008</x:v>
      </x:c>
      <x:c r="P39" s="24" t="str">
        <x:v>해당 없음</x:v>
      </x:c>
      <x:c r="Q39" s="13" t="str">
        <x:v>연결 카플링 → 등록된 카플링(소켓). 원자료 치수 별도 보존</x:v>
      </x:c>
      <x:c r="R39" s="81" t="n">
        <x:f>K39</x:f>
        <x:v>54</x:v>
      </x:c>
      <x:c r="S39" s="83" t="n">
        <x:f>MAX(0,MIN(1,($B$15-I39+1)/(J39-I39+1)))</x:f>
        <x:v>0</x:v>
      </x:c>
      <x:c r="T39" s="87" t="n">
        <x:f>IF(ISNUMBER(O39),IF(R39&lt;=$B$15,O39,0),"미산정")</x:f>
        <x:v>0</x:v>
      </x:c>
      <x:c r="U39" s="87" t="n">
        <x:f>IF(ISNUMBER(O39),MIN(T39,ROUND(O39*S39,0)),"미산정")</x:f>
        <x:v>0</x:v>
      </x:c>
      <x:c r="V39" s="87" t="n">
        <x:f>IF(ISNUMBER(O39),T39-U39,"미산정")</x:f>
        <x:v>0</x:v>
      </x:c>
      <x:c r="W39" s="87" t="n">
        <x:f>IF(ISNUMBER(O39),O39-T39,"미산정")</x:f>
        <x:v>1008</x:v>
      </x:c>
      <x:c r="X39" s="87" t="n">
        <x:f>IF(ISNUMBER(O39),O39-U39,"미산정")</x:f>
        <x:v>1008</x:v>
      </x:c>
    </x:row>
    <x:row r="40" ht="44" customHeight="1">
      <x:c r="A40" s="25" t="n">
        <x:v>30</x:v>
      </x:c>
      <x:c r="B40" s="25" t="str">
        <x:v>113동</x:v>
      </x:c>
      <x:c r="C40" s="6" t="str">
        <x:v>보·슬래브 거푸집</x:v>
      </x:c>
      <x:c r="D40" s="6" t="str">
        <x:v>PW-1224</x:v>
      </x:c>
      <x:c r="E40" s="6" t="str">
        <x:v>코팅합판</x:v>
      </x:c>
      <x:c r="F40" s="6" t="str">
        <x:v>1,220×2,440×12mm</x:v>
      </x:c>
      <x:c r="G40" s="6" t="str">
        <x:v>장</x:v>
      </x:c>
      <x:c r="H40" s="18" t="n">
        <x:v>324</x:v>
      </x:c>
      <x:c r="I40" s="27" t="n">
        <x:v>58</x:v>
      </x:c>
      <x:c r="J40" s="27" t="n">
        <x:v>61</x:v>
      </x:c>
      <x:c r="K40" s="27" t="n">
        <x:v>57</x:v>
      </x:c>
      <x:c r="L40" s="6" t="str">
        <x:v>미등록</x:v>
      </x:c>
      <x:c r="M40" s="6" t="str">
        <x:v>미산정</x:v>
      </x:c>
      <x:c r="N40" s="28" t="str">
        <x:v>미산정</x:v>
      </x:c>
      <x:c r="O40" s="31" t="str">
        <x:f>IF(AND(N40="반영",ISNUMBER(H40)),H40,"미산정")</x:f>
        <x:v>미산정</x:v>
      </x:c>
      <x:c r="P40" s="28" t="str">
        <x:v>해당 없음</x:v>
      </x:c>
      <x:c r="Q40" s="14" t="str">
        <x:v>현재 웹 등록 품목에 없음. 다른 품목으로 대체하지 않음</x:v>
      </x:c>
      <x:c r="R40" s="81" t="n">
        <x:f>K40</x:f>
        <x:v>57</x:v>
      </x:c>
      <x:c r="S40" s="84" t="n">
        <x:f>MAX(0,MIN(1,($B$15-I40+1)/(J40-I40+1)))</x:f>
        <x:v>0</x:v>
      </x:c>
      <x:c r="T40" s="88" t="str">
        <x:f>IF(ISNUMBER(O40),IF(R40&lt;=$B$15,O40,0),"미산정")</x:f>
        <x:v>미산정</x:v>
      </x:c>
      <x:c r="U40" s="88" t="str">
        <x:f>IF(ISNUMBER(O40),MIN(T40,ROUND(O40*S40,0)),"미산정")</x:f>
        <x:v>미산정</x:v>
      </x:c>
      <x:c r="V40" s="88" t="str">
        <x:f>IF(ISNUMBER(O40),T40-U40,"미산정")</x:f>
        <x:v>미산정</x:v>
      </x:c>
      <x:c r="W40" s="88" t="str">
        <x:f>IF(ISNUMBER(O40),O40-T40,"미산정")</x:f>
        <x:v>미산정</x:v>
      </x:c>
      <x:c r="X40" s="88" t="str">
        <x:f>IF(ISNUMBER(O40),O40-U40,"미산정")</x:f>
        <x:v>미산정</x:v>
      </x:c>
    </x:row>
    <x:row r="41" ht="44" customHeight="1">
      <x:c r="A41" s="24" t="n">
        <x:v>31</x:v>
      </x:c>
      <x:c r="B41" s="24" t="str">
        <x:v>113동</x:v>
      </x:c>
      <x:c r="C41" s="13" t="str">
        <x:v>보·슬래브 거푸집</x:v>
      </x:c>
      <x:c r="D41" s="13" t="str">
        <x:v>JO-4000</x:v>
      </x:c>
      <x:c r="E41" s="13" t="str">
        <x:v>각관 장선</x:v>
      </x:c>
      <x:c r="F41" s="13" t="str">
        <x:v>50×50×2.3mm / L=4,000mm</x:v>
      </x:c>
      <x:c r="G41" s="13" t="str">
        <x:v>본</x:v>
      </x:c>
      <x:c r="H41" s="17" t="n">
        <x:v>605</x:v>
      </x:c>
      <x:c r="I41" s="26" t="n">
        <x:v>58</x:v>
      </x:c>
      <x:c r="J41" s="26" t="n">
        <x:v>61</x:v>
      </x:c>
      <x:c r="K41" s="26" t="n">
        <x:v>57</x:v>
      </x:c>
      <x:c r="L41" s="13" t="str">
        <x:v>미등록</x:v>
      </x:c>
      <x:c r="M41" s="13" t="str">
        <x:v>미산정</x:v>
      </x:c>
      <x:c r="N41" s="28" t="str">
        <x:v>미산정</x:v>
      </x:c>
      <x:c r="O41" s="31" t="str">
        <x:f>IF(AND(N41="반영",ISNUMBER(H41)),H41,"미산정")</x:f>
        <x:v>미산정</x:v>
      </x:c>
      <x:c r="P41" s="28" t="str">
        <x:v>해당 없음</x:v>
      </x:c>
      <x:c r="Q41" s="14" t="str">
        <x:v>현재 웹 등록 품목에 없음. 다른 품목으로 대체하지 않음</x:v>
      </x:c>
      <x:c r="R41" s="81" t="n">
        <x:f>K41</x:f>
        <x:v>57</x:v>
      </x:c>
      <x:c r="S41" s="83" t="n">
        <x:f>MAX(0,MIN(1,($B$15-I41+1)/(J41-I41+1)))</x:f>
        <x:v>0</x:v>
      </x:c>
      <x:c r="T41" s="87" t="str">
        <x:f>IF(ISNUMBER(O41),IF(R41&lt;=$B$15,O41,0),"미산정")</x:f>
        <x:v>미산정</x:v>
      </x:c>
      <x:c r="U41" s="87" t="str">
        <x:f>IF(ISNUMBER(O41),MIN(T41,ROUND(O41*S41,0)),"미산정")</x:f>
        <x:v>미산정</x:v>
      </x:c>
      <x:c r="V41" s="87" t="str">
        <x:f>IF(ISNUMBER(O41),T41-U41,"미산정")</x:f>
        <x:v>미산정</x:v>
      </x:c>
      <x:c r="W41" s="87" t="str">
        <x:f>IF(ISNUMBER(O41),O41-T41,"미산정")</x:f>
        <x:v>미산정</x:v>
      </x:c>
      <x:c r="X41" s="87" t="str">
        <x:f>IF(ISNUMBER(O41),O41-U41,"미산정")</x:f>
        <x:v>미산정</x:v>
      </x:c>
    </x:row>
    <x:row r="42" ht="44" customHeight="1">
      <x:c r="A42" s="25" t="n">
        <x:v>32</x:v>
      </x:c>
      <x:c r="B42" s="25" t="str">
        <x:v>113동</x:v>
      </x:c>
      <x:c r="C42" s="6" t="str">
        <x:v>보·슬래브 거푸집</x:v>
      </x:c>
      <x:c r="D42" s="6" t="str">
        <x:v>BE-3000</x:v>
      </x:c>
      <x:c r="E42" s="6" t="str">
        <x:v>시스템 멍에</x:v>
      </x:c>
      <x:c r="F42" s="6" t="str">
        <x:v>선정 제품 길이 3,000mm</x:v>
      </x:c>
      <x:c r="G42" s="6" t="str">
        <x:v>본</x:v>
      </x:c>
      <x:c r="H42" s="18" t="n">
        <x:v>212</x:v>
      </x:c>
      <x:c r="I42" s="27" t="n">
        <x:v>58</x:v>
      </x:c>
      <x:c r="J42" s="27" t="n">
        <x:v>61</x:v>
      </x:c>
      <x:c r="K42" s="27" t="n">
        <x:v>57</x:v>
      </x:c>
      <x:c r="L42" s="6" t="str">
        <x:v>미등록</x:v>
      </x:c>
      <x:c r="M42" s="6" t="str">
        <x:v>미산정</x:v>
      </x:c>
      <x:c r="N42" s="28" t="str">
        <x:v>미산정</x:v>
      </x:c>
      <x:c r="O42" s="31" t="str">
        <x:f>IF(AND(N42="반영",ISNUMBER(H42)),H42,"미산정")</x:f>
        <x:v>미산정</x:v>
      </x:c>
      <x:c r="P42" s="28" t="str">
        <x:v>해당 없음</x:v>
      </x:c>
      <x:c r="Q42" s="14" t="str">
        <x:v>현재 웹 등록 품목에 없음. 다른 품목으로 대체하지 않음</x:v>
      </x:c>
      <x:c r="R42" s="81" t="n">
        <x:f>K42</x:f>
        <x:v>57</x:v>
      </x:c>
      <x:c r="S42" s="84" t="n">
        <x:f>MAX(0,MIN(1,($B$15-I42+1)/(J42-I42+1)))</x:f>
        <x:v>0</x:v>
      </x:c>
      <x:c r="T42" s="88" t="str">
        <x:f>IF(ISNUMBER(O42),IF(R42&lt;=$B$15,O42,0),"미산정")</x:f>
        <x:v>미산정</x:v>
      </x:c>
      <x:c r="U42" s="88" t="str">
        <x:f>IF(ISNUMBER(O42),MIN(T42,ROUND(O42*S42,0)),"미산정")</x:f>
        <x:v>미산정</x:v>
      </x:c>
      <x:c r="V42" s="88" t="str">
        <x:f>IF(ISNUMBER(O42),T42-U42,"미산정")</x:f>
        <x:v>미산정</x:v>
      </x:c>
      <x:c r="W42" s="88" t="str">
        <x:f>IF(ISNUMBER(O42),O42-T42,"미산정")</x:f>
        <x:v>미산정</x:v>
      </x:c>
      <x:c r="X42" s="88" t="str">
        <x:f>IF(ISNUMBER(O42),O42-U42,"미산정")</x:f>
        <x:v>미산정</x:v>
      </x:c>
    </x:row>
    <x:row r="43" ht="44" customHeight="1">
      <x:c r="A43" s="24" t="n">
        <x:v>33</x:v>
      </x:c>
      <x:c r="B43" s="24" t="str">
        <x:v>113동</x:v>
      </x:c>
      <x:c r="C43" s="13" t="str">
        <x:v>보·슬래브 철근배근</x:v>
      </x:c>
      <x:c r="D43" s="13" t="str">
        <x:v>RB-D10</x:v>
      </x:c>
      <x:c r="E43" s="13" t="str">
        <x:v>철근</x:v>
      </x:c>
      <x:c r="F43" s="13" t="str">
        <x:v>SD500 D10 / 부위별 공장 가공</x:v>
      </x:c>
      <x:c r="G43" s="13" t="str">
        <x:v>kg</x:v>
      </x:c>
      <x:c r="H43" s="17" t="n">
        <x:v>2520</x:v>
      </x:c>
      <x:c r="I43" s="26" t="n">
        <x:v>62</x:v>
      </x:c>
      <x:c r="J43" s="26" t="n">
        <x:v>64</x:v>
      </x:c>
      <x:c r="K43" s="26" t="n">
        <x:v>61</x:v>
      </x:c>
      <x:c r="L43" s="13" t="str">
        <x:v>철근</x:v>
      </x:c>
      <x:c r="M43" s="13" t="str">
        <x:v>D10</x:v>
      </x:c>
      <x:c r="N43" s="24" t="str">
        <x:v>반영</x:v>
      </x:c>
      <x:c r="O43" s="29" t="n">
        <x:f>IF(AND(N43="반영",ISNUMBER(H43)),H43,"미산정")</x:f>
        <x:v>2520</x:v>
      </x:c>
      <x:c r="P43" s="24" t="str">
        <x:v>미제공</x:v>
      </x:c>
      <x:c r="Q43" s="13" t="str">
        <x:v>등록 품목·규격과 일치</x:v>
      </x:c>
      <x:c r="R43" s="81" t="n">
        <x:f>K43</x:f>
        <x:v>61</x:v>
      </x:c>
      <x:c r="S43" s="83" t="n">
        <x:f>MAX(0,MIN(1,($B$15-I43+1)/(J43-I43+1)))</x:f>
        <x:v>0</x:v>
      </x:c>
      <x:c r="T43" s="87" t="n">
        <x:f>IF(ISNUMBER(O43),IF(R43&lt;=$B$15,O43,0),"미산정")</x:f>
        <x:v>0</x:v>
      </x:c>
      <x:c r="U43" s="87" t="n">
        <x:f>IF(ISNUMBER(O43),MIN(T43,ROUND(O43*S43,0)),"미산정")</x:f>
        <x:v>0</x:v>
      </x:c>
      <x:c r="V43" s="87" t="n">
        <x:f>IF(ISNUMBER(O43),T43-U43,"미산정")</x:f>
        <x:v>0</x:v>
      </x:c>
      <x:c r="W43" s="87" t="n">
        <x:f>IF(ISNUMBER(O43),O43-T43,"미산정")</x:f>
        <x:v>2520</x:v>
      </x:c>
      <x:c r="X43" s="87" t="n">
        <x:f>IF(ISNUMBER(O43),O43-U43,"미산정")</x:f>
        <x:v>2520</x:v>
      </x:c>
    </x:row>
    <x:row r="44" ht="44" customHeight="1">
      <x:c r="A44" s="25" t="n">
        <x:v>34</x:v>
      </x:c>
      <x:c r="B44" s="25" t="str">
        <x:v>113동</x:v>
      </x:c>
      <x:c r="C44" s="6" t="str">
        <x:v>보·슬래브 철근배근</x:v>
      </x:c>
      <x:c r="D44" s="6" t="str">
        <x:v>RB-D13</x:v>
      </x:c>
      <x:c r="E44" s="6" t="str">
        <x:v>철근</x:v>
      </x:c>
      <x:c r="F44" s="6" t="str">
        <x:v>SD500 D13 / 부위별 공장 가공</x:v>
      </x:c>
      <x:c r="G44" s="6" t="str">
        <x:v>kg</x:v>
      </x:c>
      <x:c r="H44" s="18" t="n">
        <x:v>6300</x:v>
      </x:c>
      <x:c r="I44" s="27" t="n">
        <x:v>62</x:v>
      </x:c>
      <x:c r="J44" s="27" t="n">
        <x:v>64</x:v>
      </x:c>
      <x:c r="K44" s="27" t="n">
        <x:v>61</x:v>
      </x:c>
      <x:c r="L44" s="6" t="str">
        <x:v>철근</x:v>
      </x:c>
      <x:c r="M44" s="6" t="str">
        <x:v>D13</x:v>
      </x:c>
      <x:c r="N44" s="25" t="str">
        <x:v>반영</x:v>
      </x:c>
      <x:c r="O44" s="30" t="n">
        <x:f>IF(AND(N44="반영",ISNUMBER(H44)),H44,"미산정")</x:f>
        <x:v>6300</x:v>
      </x:c>
      <x:c r="P44" s="25" t="str">
        <x:v>미제공</x:v>
      </x:c>
      <x:c r="Q44" s="6" t="str">
        <x:v>등록 품목·규격과 일치</x:v>
      </x:c>
      <x:c r="R44" s="81" t="n">
        <x:f>K44</x:f>
        <x:v>61</x:v>
      </x:c>
      <x:c r="S44" s="84" t="n">
        <x:f>MAX(0,MIN(1,($B$15-I44+1)/(J44-I44+1)))</x:f>
        <x:v>0</x:v>
      </x:c>
      <x:c r="T44" s="88" t="n">
        <x:f>IF(ISNUMBER(O44),IF(R44&lt;=$B$15,O44,0),"미산정")</x:f>
        <x:v>0</x:v>
      </x:c>
      <x:c r="U44" s="88" t="n">
        <x:f>IF(ISNUMBER(O44),MIN(T44,ROUND(O44*S44,0)),"미산정")</x:f>
        <x:v>0</x:v>
      </x:c>
      <x:c r="V44" s="88" t="n">
        <x:f>IF(ISNUMBER(O44),T44-U44,"미산정")</x:f>
        <x:v>0</x:v>
      </x:c>
      <x:c r="W44" s="88" t="n">
        <x:f>IF(ISNUMBER(O44),O44-T44,"미산정")</x:f>
        <x:v>6300</x:v>
      </x:c>
      <x:c r="X44" s="88" t="n">
        <x:f>IF(ISNUMBER(O44),O44-U44,"미산정")</x:f>
        <x:v>6300</x:v>
      </x:c>
    </x:row>
    <x:row r="45" ht="44" customHeight="1">
      <x:c r="A45" s="24" t="n">
        <x:v>35</x:v>
      </x:c>
      <x:c r="B45" s="24" t="str">
        <x:v>113동</x:v>
      </x:c>
      <x:c r="C45" s="13" t="str">
        <x:v>보·슬래브 철근배근</x:v>
      </x:c>
      <x:c r="D45" s="13" t="str">
        <x:v>RB-D16</x:v>
      </x:c>
      <x:c r="E45" s="13" t="str">
        <x:v>철근</x:v>
      </x:c>
      <x:c r="F45" s="13" t="str">
        <x:v>SD500 D16 / 부위별 공장 가공</x:v>
      </x:c>
      <x:c r="G45" s="13" t="str">
        <x:v>kg</x:v>
      </x:c>
      <x:c r="H45" s="17" t="n">
        <x:v>5040</x:v>
      </x:c>
      <x:c r="I45" s="26" t="n">
        <x:v>62</x:v>
      </x:c>
      <x:c r="J45" s="26" t="n">
        <x:v>64</x:v>
      </x:c>
      <x:c r="K45" s="26" t="n">
        <x:v>61</x:v>
      </x:c>
      <x:c r="L45" s="13" t="str">
        <x:v>철근</x:v>
      </x:c>
      <x:c r="M45" s="13" t="str">
        <x:v>D16</x:v>
      </x:c>
      <x:c r="N45" s="24" t="str">
        <x:v>반영</x:v>
      </x:c>
      <x:c r="O45" s="29" t="n">
        <x:f>IF(AND(N45="반영",ISNUMBER(H45)),H45,"미산정")</x:f>
        <x:v>5040</x:v>
      </x:c>
      <x:c r="P45" s="24" t="str">
        <x:v>미제공</x:v>
      </x:c>
      <x:c r="Q45" s="13" t="str">
        <x:v>등록 품목·규격과 일치</x:v>
      </x:c>
      <x:c r="R45" s="81" t="n">
        <x:f>K45</x:f>
        <x:v>61</x:v>
      </x:c>
      <x:c r="S45" s="83" t="n">
        <x:f>MAX(0,MIN(1,($B$15-I45+1)/(J45-I45+1)))</x:f>
        <x:v>0</x:v>
      </x:c>
      <x:c r="T45" s="87" t="n">
        <x:f>IF(ISNUMBER(O45),IF(R45&lt;=$B$15,O45,0),"미산정")</x:f>
        <x:v>0</x:v>
      </x:c>
      <x:c r="U45" s="87" t="n">
        <x:f>IF(ISNUMBER(O45),MIN(T45,ROUND(O45*S45,0)),"미산정")</x:f>
        <x:v>0</x:v>
      </x:c>
      <x:c r="V45" s="87" t="n">
        <x:f>IF(ISNUMBER(O45),T45-U45,"미산정")</x:f>
        <x:v>0</x:v>
      </x:c>
      <x:c r="W45" s="87" t="n">
        <x:f>IF(ISNUMBER(O45),O45-T45,"미산정")</x:f>
        <x:v>5040</x:v>
      </x:c>
      <x:c r="X45" s="87" t="n">
        <x:f>IF(ISNUMBER(O45),O45-U45,"미산정")</x:f>
        <x:v>5040</x:v>
      </x:c>
    </x:row>
    <x:row r="46" ht="44" customHeight="1">
      <x:c r="A46" s="25" t="n">
        <x:v>36</x:v>
      </x:c>
      <x:c r="B46" s="25" t="str">
        <x:v>113동</x:v>
      </x:c>
      <x:c r="C46" s="6" t="str">
        <x:v>보·슬래브 철근배근</x:v>
      </x:c>
      <x:c r="D46" s="6" t="str">
        <x:v>RB-D19</x:v>
      </x:c>
      <x:c r="E46" s="6" t="str">
        <x:v>철근</x:v>
      </x:c>
      <x:c r="F46" s="6" t="str">
        <x:v>SD500 D19 / 부위별 공장 가공</x:v>
      </x:c>
      <x:c r="G46" s="6" t="str">
        <x:v>kg</x:v>
      </x:c>
      <x:c r="H46" s="18" t="n">
        <x:v>5040</x:v>
      </x:c>
      <x:c r="I46" s="27" t="n">
        <x:v>62</x:v>
      </x:c>
      <x:c r="J46" s="27" t="n">
        <x:v>64</x:v>
      </x:c>
      <x:c r="K46" s="27" t="n">
        <x:v>61</x:v>
      </x:c>
      <x:c r="L46" s="6" t="str">
        <x:v>철근</x:v>
      </x:c>
      <x:c r="M46" s="6" t="str">
        <x:v>D19</x:v>
      </x:c>
      <x:c r="N46" s="25" t="str">
        <x:v>반영</x:v>
      </x:c>
      <x:c r="O46" s="30" t="n">
        <x:f>IF(AND(N46="반영",ISNUMBER(H46)),H46,"미산정")</x:f>
        <x:v>5040</x:v>
      </x:c>
      <x:c r="P46" s="25" t="str">
        <x:v>미제공</x:v>
      </x:c>
      <x:c r="Q46" s="6" t="str">
        <x:v>등록 품목·규격과 일치</x:v>
      </x:c>
      <x:c r="R46" s="81" t="n">
        <x:f>K46</x:f>
        <x:v>61</x:v>
      </x:c>
      <x:c r="S46" s="84" t="n">
        <x:f>MAX(0,MIN(1,($B$15-I46+1)/(J46-I46+1)))</x:f>
        <x:v>0</x:v>
      </x:c>
      <x:c r="T46" s="88" t="n">
        <x:f>IF(ISNUMBER(O46),IF(R46&lt;=$B$15,O46,0),"미산정")</x:f>
        <x:v>0</x:v>
      </x:c>
      <x:c r="U46" s="88" t="n">
        <x:f>IF(ISNUMBER(O46),MIN(T46,ROUND(O46*S46,0)),"미산정")</x:f>
        <x:v>0</x:v>
      </x:c>
      <x:c r="V46" s="88" t="n">
        <x:f>IF(ISNUMBER(O46),T46-U46,"미산정")</x:f>
        <x:v>0</x:v>
      </x:c>
      <x:c r="W46" s="88" t="n">
        <x:f>IF(ISNUMBER(O46),O46-T46,"미산정")</x:f>
        <x:v>5040</x:v>
      </x:c>
      <x:c r="X46" s="88" t="n">
        <x:f>IF(ISNUMBER(O46),O46-U46,"미산정")</x:f>
        <x:v>5040</x:v>
      </x:c>
    </x:row>
    <x:row r="47" ht="44" customHeight="1">
      <x:c r="A47" s="24" t="n">
        <x:v>37</x:v>
      </x:c>
      <x:c r="B47" s="24" t="str">
        <x:v>113동</x:v>
      </x:c>
      <x:c r="C47" s="13" t="str">
        <x:v>보·슬래브 철근배근</x:v>
      </x:c>
      <x:c r="D47" s="13" t="str">
        <x:v>RB-D22</x:v>
      </x:c>
      <x:c r="E47" s="13" t="str">
        <x:v>철근</x:v>
      </x:c>
      <x:c r="F47" s="13" t="str">
        <x:v>SD500 D22 / 부위별 공장 가공</x:v>
      </x:c>
      <x:c r="G47" s="13" t="str">
        <x:v>kg</x:v>
      </x:c>
      <x:c r="H47" s="17" t="n">
        <x:v>3780</x:v>
      </x:c>
      <x:c r="I47" s="26" t="n">
        <x:v>62</x:v>
      </x:c>
      <x:c r="J47" s="26" t="n">
        <x:v>64</x:v>
      </x:c>
      <x:c r="K47" s="26" t="n">
        <x:v>61</x:v>
      </x:c>
      <x:c r="L47" s="13" t="str">
        <x:v>철근</x:v>
      </x:c>
      <x:c r="M47" s="13" t="str">
        <x:v>D22</x:v>
      </x:c>
      <x:c r="N47" s="24" t="str">
        <x:v>반영</x:v>
      </x:c>
      <x:c r="O47" s="29" t="n">
        <x:f>IF(AND(N47="반영",ISNUMBER(H47)),H47,"미산정")</x:f>
        <x:v>3780</x:v>
      </x:c>
      <x:c r="P47" s="24" t="str">
        <x:v>미제공</x:v>
      </x:c>
      <x:c r="Q47" s="13" t="str">
        <x:v>등록 품목·규격과 일치</x:v>
      </x:c>
      <x:c r="R47" s="81" t="n">
        <x:f>K47</x:f>
        <x:v>61</x:v>
      </x:c>
      <x:c r="S47" s="83" t="n">
        <x:f>MAX(0,MIN(1,($B$15-I47+1)/(J47-I47+1)))</x:f>
        <x:v>0</x:v>
      </x:c>
      <x:c r="T47" s="87" t="n">
        <x:f>IF(ISNUMBER(O47),IF(R47&lt;=$B$15,O47,0),"미산정")</x:f>
        <x:v>0</x:v>
      </x:c>
      <x:c r="U47" s="87" t="n">
        <x:f>IF(ISNUMBER(O47),MIN(T47,ROUND(O47*S47,0)),"미산정")</x:f>
        <x:v>0</x:v>
      </x:c>
      <x:c r="V47" s="87" t="n">
        <x:f>IF(ISNUMBER(O47),T47-U47,"미산정")</x:f>
        <x:v>0</x:v>
      </x:c>
      <x:c r="W47" s="87" t="n">
        <x:f>IF(ISNUMBER(O47),O47-T47,"미산정")</x:f>
        <x:v>3780</x:v>
      </x:c>
      <x:c r="X47" s="87" t="n">
        <x:f>IF(ISNUMBER(O47),O47-U47,"미산정")</x:f>
        <x:v>3780</x:v>
      </x:c>
    </x:row>
    <x:row r="48" ht="44" customHeight="1">
      <x:c r="A48" s="25" t="n">
        <x:v>38</x:v>
      </x:c>
      <x:c r="B48" s="25" t="str">
        <x:v>113동</x:v>
      </x:c>
      <x:c r="C48" s="6" t="str">
        <x:v>보·슬래브 철근배근</x:v>
      </x:c>
      <x:c r="D48" s="6" t="str">
        <x:v>RB-D25</x:v>
      </x:c>
      <x:c r="E48" s="6" t="str">
        <x:v>철근</x:v>
      </x:c>
      <x:c r="F48" s="6" t="str">
        <x:v>SD500 D25 / 부위별 공장 가공</x:v>
      </x:c>
      <x:c r="G48" s="6" t="str">
        <x:v>kg</x:v>
      </x:c>
      <x:c r="H48" s="18" t="n">
        <x:v>2520</x:v>
      </x:c>
      <x:c r="I48" s="27" t="n">
        <x:v>62</x:v>
      </x:c>
      <x:c r="J48" s="27" t="n">
        <x:v>64</x:v>
      </x:c>
      <x:c r="K48" s="27" t="n">
        <x:v>61</x:v>
      </x:c>
      <x:c r="L48" s="6" t="str">
        <x:v>철근</x:v>
      </x:c>
      <x:c r="M48" s="6" t="str">
        <x:v>D25</x:v>
      </x:c>
      <x:c r="N48" s="25" t="str">
        <x:v>반영</x:v>
      </x:c>
      <x:c r="O48" s="30" t="n">
        <x:f>IF(AND(N48="반영",ISNUMBER(H48)),H48,"미산정")</x:f>
        <x:v>2520</x:v>
      </x:c>
      <x:c r="P48" s="25" t="str">
        <x:v>미제공</x:v>
      </x:c>
      <x:c r="Q48" s="6" t="str">
        <x:v>등록 품목·규격과 일치</x:v>
      </x:c>
      <x:c r="R48" s="81" t="n">
        <x:f>K48</x:f>
        <x:v>61</x:v>
      </x:c>
      <x:c r="S48" s="84" t="n">
        <x:f>MAX(0,MIN(1,($B$15-I48+1)/(J48-I48+1)))</x:f>
        <x:v>0</x:v>
      </x:c>
      <x:c r="T48" s="88" t="n">
        <x:f>IF(ISNUMBER(O48),IF(R48&lt;=$B$15,O48,0),"미산정")</x:f>
        <x:v>0</x:v>
      </x:c>
      <x:c r="U48" s="88" t="n">
        <x:f>IF(ISNUMBER(O48),MIN(T48,ROUND(O48*S48,0)),"미산정")</x:f>
        <x:v>0</x:v>
      </x:c>
      <x:c r="V48" s="88" t="n">
        <x:f>IF(ISNUMBER(O48),T48-U48,"미산정")</x:f>
        <x:v>0</x:v>
      </x:c>
      <x:c r="W48" s="88" t="n">
        <x:f>IF(ISNUMBER(O48),O48-T48,"미산정")</x:f>
        <x:v>2520</x:v>
      </x:c>
      <x:c r="X48" s="88" t="n">
        <x:f>IF(ISNUMBER(O48),O48-U48,"미산정")</x:f>
        <x:v>2520</x:v>
      </x:c>
    </x:row>
    <x:row r="49" ht="44" customHeight="1">
      <x:c r="A49" s="24" t="n">
        <x:v>39</x:v>
      </x:c>
      <x:c r="B49" s="24" t="str">
        <x:v>112동</x:v>
      </x:c>
      <x:c r="C49" s="13" t="str">
        <x:v>벽체·기둥 철근배근</x:v>
      </x:c>
      <x:c r="D49" s="13" t="str">
        <x:v>RB-D10</x:v>
      </x:c>
      <x:c r="E49" s="13" t="str">
        <x:v>철근</x:v>
      </x:c>
      <x:c r="F49" s="13" t="str">
        <x:v>SD500 D10 / 부위별 공장 가공</x:v>
      </x:c>
      <x:c r="G49" s="13" t="str">
        <x:v>kg</x:v>
      </x:c>
      <x:c r="H49" s="17" t="n">
        <x:v>1810</x:v>
      </x:c>
      <x:c r="I49" s="26" t="n">
        <x:v>18</x:v>
      </x:c>
      <x:c r="J49" s="26" t="n">
        <x:v>22</x:v>
      </x:c>
      <x:c r="K49" s="26" t="n">
        <x:v>17</x:v>
      </x:c>
      <x:c r="L49" s="13" t="str">
        <x:v>철근</x:v>
      </x:c>
      <x:c r="M49" s="13" t="str">
        <x:v>D10</x:v>
      </x:c>
      <x:c r="N49" s="24" t="str">
        <x:v>반영</x:v>
      </x:c>
      <x:c r="O49" s="29" t="n">
        <x:f>IF(AND(N49="반영",ISNUMBER(H49)),H49,"미산정")</x:f>
        <x:v>1810</x:v>
      </x:c>
      <x:c r="P49" s="24" t="str">
        <x:v>미제공</x:v>
      </x:c>
      <x:c r="Q49" s="13" t="str">
        <x:v>등록 품목·규격과 일치</x:v>
      </x:c>
      <x:c r="R49" s="81" t="n">
        <x:f>K49</x:f>
        <x:v>17</x:v>
      </x:c>
      <x:c r="S49" s="83" t="n">
        <x:f>MAX(0,MIN(1,($B$15-I49+1)/(J49-I49+1)))</x:f>
        <x:v>0</x:v>
      </x:c>
      <x:c r="T49" s="87" t="n">
        <x:f>IF(ISNUMBER(O49),IF(R49&lt;=$B$15,O49,0),"미산정")</x:f>
        <x:v>0</x:v>
      </x:c>
      <x:c r="U49" s="87" t="n">
        <x:f>IF(ISNUMBER(O49),MIN(T49,ROUND(O49*S49,0)),"미산정")</x:f>
        <x:v>0</x:v>
      </x:c>
      <x:c r="V49" s="87" t="n">
        <x:f>IF(ISNUMBER(O49),T49-U49,"미산정")</x:f>
        <x:v>0</x:v>
      </x:c>
      <x:c r="W49" s="87" t="n">
        <x:f>IF(ISNUMBER(O49),O49-T49,"미산정")</x:f>
        <x:v>1810</x:v>
      </x:c>
      <x:c r="X49" s="87" t="n">
        <x:f>IF(ISNUMBER(O49),O49-U49,"미산정")</x:f>
        <x:v>1810</x:v>
      </x:c>
    </x:row>
    <x:row r="50" ht="44" customHeight="1">
      <x:c r="A50" s="25" t="n">
        <x:v>40</x:v>
      </x:c>
      <x:c r="B50" s="25" t="str">
        <x:v>112동</x:v>
      </x:c>
      <x:c r="C50" s="6" t="str">
        <x:v>벽체·기둥 철근배근</x:v>
      </x:c>
      <x:c r="D50" s="6" t="str">
        <x:v>RB-D13</x:v>
      </x:c>
      <x:c r="E50" s="6" t="str">
        <x:v>철근</x:v>
      </x:c>
      <x:c r="F50" s="6" t="str">
        <x:v>SD500 D13 / 부위별 공장 가공</x:v>
      </x:c>
      <x:c r="G50" s="6" t="str">
        <x:v>kg</x:v>
      </x:c>
      <x:c r="H50" s="18" t="n">
        <x:v>2710</x:v>
      </x:c>
      <x:c r="I50" s="27" t="n">
        <x:v>18</x:v>
      </x:c>
      <x:c r="J50" s="27" t="n">
        <x:v>22</x:v>
      </x:c>
      <x:c r="K50" s="27" t="n">
        <x:v>17</x:v>
      </x:c>
      <x:c r="L50" s="6" t="str">
        <x:v>철근</x:v>
      </x:c>
      <x:c r="M50" s="6" t="str">
        <x:v>D13</x:v>
      </x:c>
      <x:c r="N50" s="25" t="str">
        <x:v>반영</x:v>
      </x:c>
      <x:c r="O50" s="30" t="n">
        <x:f>IF(AND(N50="반영",ISNUMBER(H50)),H50,"미산정")</x:f>
        <x:v>2710</x:v>
      </x:c>
      <x:c r="P50" s="25" t="str">
        <x:v>미제공</x:v>
      </x:c>
      <x:c r="Q50" s="6" t="str">
        <x:v>등록 품목·규격과 일치</x:v>
      </x:c>
      <x:c r="R50" s="81" t="n">
        <x:f>K50</x:f>
        <x:v>17</x:v>
      </x:c>
      <x:c r="S50" s="84" t="n">
        <x:f>MAX(0,MIN(1,($B$15-I50+1)/(J50-I50+1)))</x:f>
        <x:v>0</x:v>
      </x:c>
      <x:c r="T50" s="88" t="n">
        <x:f>IF(ISNUMBER(O50),IF(R50&lt;=$B$15,O50,0),"미산정")</x:f>
        <x:v>0</x:v>
      </x:c>
      <x:c r="U50" s="88" t="n">
        <x:f>IF(ISNUMBER(O50),MIN(T50,ROUND(O50*S50,0)),"미산정")</x:f>
        <x:v>0</x:v>
      </x:c>
      <x:c r="V50" s="88" t="n">
        <x:f>IF(ISNUMBER(O50),T50-U50,"미산정")</x:f>
        <x:v>0</x:v>
      </x:c>
      <x:c r="W50" s="88" t="n">
        <x:f>IF(ISNUMBER(O50),O50-T50,"미산정")</x:f>
        <x:v>2710</x:v>
      </x:c>
      <x:c r="X50" s="88" t="n">
        <x:f>IF(ISNUMBER(O50),O50-U50,"미산정")</x:f>
        <x:v>2710</x:v>
      </x:c>
    </x:row>
    <x:row r="51" ht="44" customHeight="1">
      <x:c r="A51" s="24" t="n">
        <x:v>41</x:v>
      </x:c>
      <x:c r="B51" s="24" t="str">
        <x:v>112동</x:v>
      </x:c>
      <x:c r="C51" s="13" t="str">
        <x:v>벽체·기둥 철근배근</x:v>
      </x:c>
      <x:c r="D51" s="13" t="str">
        <x:v>RB-D16</x:v>
      </x:c>
      <x:c r="E51" s="13" t="str">
        <x:v>철근</x:v>
      </x:c>
      <x:c r="F51" s="13" t="str">
        <x:v>SD500 D16 / 부위별 공장 가공</x:v>
      </x:c>
      <x:c r="G51" s="13" t="str">
        <x:v>kg</x:v>
      </x:c>
      <x:c r="H51" s="17" t="n">
        <x:v>3390</x:v>
      </x:c>
      <x:c r="I51" s="26" t="n">
        <x:v>18</x:v>
      </x:c>
      <x:c r="J51" s="26" t="n">
        <x:v>22</x:v>
      </x:c>
      <x:c r="K51" s="26" t="n">
        <x:v>17</x:v>
      </x:c>
      <x:c r="L51" s="13" t="str">
        <x:v>철근</x:v>
      </x:c>
      <x:c r="M51" s="13" t="str">
        <x:v>D16</x:v>
      </x:c>
      <x:c r="N51" s="24" t="str">
        <x:v>반영</x:v>
      </x:c>
      <x:c r="O51" s="29" t="n">
        <x:f>IF(AND(N51="반영",ISNUMBER(H51)),H51,"미산정")</x:f>
        <x:v>3390</x:v>
      </x:c>
      <x:c r="P51" s="24" t="str">
        <x:v>미제공</x:v>
      </x:c>
      <x:c r="Q51" s="13" t="str">
        <x:v>등록 품목·규격과 일치</x:v>
      </x:c>
      <x:c r="R51" s="81" t="n">
        <x:f>K51</x:f>
        <x:v>17</x:v>
      </x:c>
      <x:c r="S51" s="83" t="n">
        <x:f>MAX(0,MIN(1,($B$15-I51+1)/(J51-I51+1)))</x:f>
        <x:v>0</x:v>
      </x:c>
      <x:c r="T51" s="87" t="n">
        <x:f>IF(ISNUMBER(O51),IF(R51&lt;=$B$15,O51,0),"미산정")</x:f>
        <x:v>0</x:v>
      </x:c>
      <x:c r="U51" s="87" t="n">
        <x:f>IF(ISNUMBER(O51),MIN(T51,ROUND(O51*S51,0)),"미산정")</x:f>
        <x:v>0</x:v>
      </x:c>
      <x:c r="V51" s="87" t="n">
        <x:f>IF(ISNUMBER(O51),T51-U51,"미산정")</x:f>
        <x:v>0</x:v>
      </x:c>
      <x:c r="W51" s="87" t="n">
        <x:f>IF(ISNUMBER(O51),O51-T51,"미산정")</x:f>
        <x:v>3390</x:v>
      </x:c>
      <x:c r="X51" s="87" t="n">
        <x:f>IF(ISNUMBER(O51),O51-U51,"미산정")</x:f>
        <x:v>3390</x:v>
      </x:c>
    </x:row>
    <x:row r="52" ht="44" customHeight="1">
      <x:c r="A52" s="25" t="n">
        <x:v>42</x:v>
      </x:c>
      <x:c r="B52" s="25" t="str">
        <x:v>112동</x:v>
      </x:c>
      <x:c r="C52" s="6" t="str">
        <x:v>벽체·기둥 철근배근</x:v>
      </x:c>
      <x:c r="D52" s="6" t="str">
        <x:v>RB-D19</x:v>
      </x:c>
      <x:c r="E52" s="6" t="str">
        <x:v>철근</x:v>
      </x:c>
      <x:c r="F52" s="6" t="str">
        <x:v>SD500 D19 / 부위별 공장 가공</x:v>
      </x:c>
      <x:c r="G52" s="6" t="str">
        <x:v>kg</x:v>
      </x:c>
      <x:c r="H52" s="18" t="n">
        <x:v>3390</x:v>
      </x:c>
      <x:c r="I52" s="27" t="n">
        <x:v>18</x:v>
      </x:c>
      <x:c r="J52" s="27" t="n">
        <x:v>22</x:v>
      </x:c>
      <x:c r="K52" s="27" t="n">
        <x:v>17</x:v>
      </x:c>
      <x:c r="L52" s="6" t="str">
        <x:v>철근</x:v>
      </x:c>
      <x:c r="M52" s="6" t="str">
        <x:v>D19</x:v>
      </x:c>
      <x:c r="N52" s="25" t="str">
        <x:v>반영</x:v>
      </x:c>
      <x:c r="O52" s="30" t="n">
        <x:f>IF(AND(N52="반영",ISNUMBER(H52)),H52,"미산정")</x:f>
        <x:v>3390</x:v>
      </x:c>
      <x:c r="P52" s="25" t="str">
        <x:v>미제공</x:v>
      </x:c>
      <x:c r="Q52" s="6" t="str">
        <x:v>등록 품목·규격과 일치</x:v>
      </x:c>
      <x:c r="R52" s="81" t="n">
        <x:f>K52</x:f>
        <x:v>17</x:v>
      </x:c>
      <x:c r="S52" s="84" t="n">
        <x:f>MAX(0,MIN(1,($B$15-I52+1)/(J52-I52+1)))</x:f>
        <x:v>0</x:v>
      </x:c>
      <x:c r="T52" s="88" t="n">
        <x:f>IF(ISNUMBER(O52),IF(R52&lt;=$B$15,O52,0),"미산정")</x:f>
        <x:v>0</x:v>
      </x:c>
      <x:c r="U52" s="88" t="n">
        <x:f>IF(ISNUMBER(O52),MIN(T52,ROUND(O52*S52,0)),"미산정")</x:f>
        <x:v>0</x:v>
      </x:c>
      <x:c r="V52" s="88" t="n">
        <x:f>IF(ISNUMBER(O52),T52-U52,"미산정")</x:f>
        <x:v>0</x:v>
      </x:c>
      <x:c r="W52" s="88" t="n">
        <x:f>IF(ISNUMBER(O52),O52-T52,"미산정")</x:f>
        <x:v>3390</x:v>
      </x:c>
      <x:c r="X52" s="88" t="n">
        <x:f>IF(ISNUMBER(O52),O52-U52,"미산정")</x:f>
        <x:v>3390</x:v>
      </x:c>
    </x:row>
    <x:row r="53" ht="44" customHeight="1">
      <x:c r="A53" s="24" t="n">
        <x:v>43</x:v>
      </x:c>
      <x:c r="B53" s="24" t="str">
        <x:v>112동</x:v>
      </x:c>
      <x:c r="C53" s="13" t="str">
        <x:v>벽체·기둥 철근배근</x:v>
      </x:c>
      <x:c r="D53" s="13" t="str">
        <x:v>RB-D22</x:v>
      </x:c>
      <x:c r="E53" s="13" t="str">
        <x:v>철근</x:v>
      </x:c>
      <x:c r="F53" s="13" t="str">
        <x:v>SD500 D22 / 부위별 공장 가공</x:v>
      </x:c>
      <x:c r="G53" s="13" t="str">
        <x:v>kg</x:v>
      </x:c>
      <x:c r="H53" s="17" t="n">
        <x:v>4520</x:v>
      </x:c>
      <x:c r="I53" s="26" t="n">
        <x:v>18</x:v>
      </x:c>
      <x:c r="J53" s="26" t="n">
        <x:v>22</x:v>
      </x:c>
      <x:c r="K53" s="26" t="n">
        <x:v>17</x:v>
      </x:c>
      <x:c r="L53" s="13" t="str">
        <x:v>철근</x:v>
      </x:c>
      <x:c r="M53" s="13" t="str">
        <x:v>D22</x:v>
      </x:c>
      <x:c r="N53" s="24" t="str">
        <x:v>반영</x:v>
      </x:c>
      <x:c r="O53" s="29" t="n">
        <x:f>IF(AND(N53="반영",ISNUMBER(H53)),H53,"미산정")</x:f>
        <x:v>4520</x:v>
      </x:c>
      <x:c r="P53" s="24" t="str">
        <x:v>미제공</x:v>
      </x:c>
      <x:c r="Q53" s="13" t="str">
        <x:v>등록 품목·규격과 일치</x:v>
      </x:c>
      <x:c r="R53" s="81" t="n">
        <x:f>K53</x:f>
        <x:v>17</x:v>
      </x:c>
      <x:c r="S53" s="83" t="n">
        <x:f>MAX(0,MIN(1,($B$15-I53+1)/(J53-I53+1)))</x:f>
        <x:v>0</x:v>
      </x:c>
      <x:c r="T53" s="87" t="n">
        <x:f>IF(ISNUMBER(O53),IF(R53&lt;=$B$15,O53,0),"미산정")</x:f>
        <x:v>0</x:v>
      </x:c>
      <x:c r="U53" s="87" t="n">
        <x:f>IF(ISNUMBER(O53),MIN(T53,ROUND(O53*S53,0)),"미산정")</x:f>
        <x:v>0</x:v>
      </x:c>
      <x:c r="V53" s="87" t="n">
        <x:f>IF(ISNUMBER(O53),T53-U53,"미산정")</x:f>
        <x:v>0</x:v>
      </x:c>
      <x:c r="W53" s="87" t="n">
        <x:f>IF(ISNUMBER(O53),O53-T53,"미산정")</x:f>
        <x:v>4520</x:v>
      </x:c>
      <x:c r="X53" s="87" t="n">
        <x:f>IF(ISNUMBER(O53),O53-U53,"미산정")</x:f>
        <x:v>4520</x:v>
      </x:c>
    </x:row>
    <x:row r="54" ht="44" customHeight="1">
      <x:c r="A54" s="25" t="n">
        <x:v>44</x:v>
      </x:c>
      <x:c r="B54" s="25" t="str">
        <x:v>112동</x:v>
      </x:c>
      <x:c r="C54" s="6" t="str">
        <x:v>벽체·기둥 철근배근</x:v>
      </x:c>
      <x:c r="D54" s="6" t="str">
        <x:v>RB-D25</x:v>
      </x:c>
      <x:c r="E54" s="6" t="str">
        <x:v>철근</x:v>
      </x:c>
      <x:c r="F54" s="6" t="str">
        <x:v>SD500 D25 / 부위별 공장 가공</x:v>
      </x:c>
      <x:c r="G54" s="6" t="str">
        <x:v>kg</x:v>
      </x:c>
      <x:c r="H54" s="18" t="n">
        <x:v>6780</x:v>
      </x:c>
      <x:c r="I54" s="27" t="n">
        <x:v>18</x:v>
      </x:c>
      <x:c r="J54" s="27" t="n">
        <x:v>22</x:v>
      </x:c>
      <x:c r="K54" s="27" t="n">
        <x:v>17</x:v>
      </x:c>
      <x:c r="L54" s="6" t="str">
        <x:v>철근</x:v>
      </x:c>
      <x:c r="M54" s="6" t="str">
        <x:v>D25</x:v>
      </x:c>
      <x:c r="N54" s="25" t="str">
        <x:v>반영</x:v>
      </x:c>
      <x:c r="O54" s="30" t="n">
        <x:f>IF(AND(N54="반영",ISNUMBER(H54)),H54,"미산정")</x:f>
        <x:v>6780</x:v>
      </x:c>
      <x:c r="P54" s="25" t="str">
        <x:v>미제공</x:v>
      </x:c>
      <x:c r="Q54" s="6" t="str">
        <x:v>등록 품목·규격과 일치</x:v>
      </x:c>
      <x:c r="R54" s="81" t="n">
        <x:f>K54</x:f>
        <x:v>17</x:v>
      </x:c>
      <x:c r="S54" s="84" t="n">
        <x:f>MAX(0,MIN(1,($B$15-I54+1)/(J54-I54+1)))</x:f>
        <x:v>0</x:v>
      </x:c>
      <x:c r="T54" s="88" t="n">
        <x:f>IF(ISNUMBER(O54),IF(R54&lt;=$B$15,O54,0),"미산정")</x:f>
        <x:v>0</x:v>
      </x:c>
      <x:c r="U54" s="88" t="n">
        <x:f>IF(ISNUMBER(O54),MIN(T54,ROUND(O54*S54,0)),"미산정")</x:f>
        <x:v>0</x:v>
      </x:c>
      <x:c r="V54" s="88" t="n">
        <x:f>IF(ISNUMBER(O54),T54-U54,"미산정")</x:f>
        <x:v>0</x:v>
      </x:c>
      <x:c r="W54" s="88" t="n">
        <x:f>IF(ISNUMBER(O54),O54-T54,"미산정")</x:f>
        <x:v>6780</x:v>
      </x:c>
      <x:c r="X54" s="88" t="n">
        <x:f>IF(ISNUMBER(O54),O54-U54,"미산정")</x:f>
        <x:v>6780</x:v>
      </x:c>
    </x:row>
    <x:row r="55" ht="44" customHeight="1">
      <x:c r="A55" s="24" t="n">
        <x:v>45</x:v>
      </x:c>
      <x:c r="B55" s="24" t="str">
        <x:v>112동</x:v>
      </x:c>
      <x:c r="C55" s="13" t="str">
        <x:v>수직부 거푸집 설치</x:v>
      </x:c>
      <x:c r="D55" s="13" t="str">
        <x:v>EF-5012</x:v>
      </x:c>
      <x:c r="E55" s="13" t="str">
        <x:v>유로폼</x:v>
      </x:c>
      <x:c r="F55" s="13" t="str">
        <x:v>500×1,200mm</x:v>
      </x:c>
      <x:c r="G55" s="13" t="str">
        <x:v>장</x:v>
      </x:c>
      <x:c r="H55" s="17" t="n">
        <x:v>911</x:v>
      </x:c>
      <x:c r="I55" s="26" t="n">
        <x:v>23</x:v>
      </x:c>
      <x:c r="J55" s="26" t="n">
        <x:v>29</x:v>
      </x:c>
      <x:c r="K55" s="26" t="n">
        <x:v>22</x:v>
      </x:c>
      <x:c r="L55" s="13" t="str">
        <x:v>유로폼</x:v>
      </x:c>
      <x:c r="M55" s="13" t="str">
        <x:v>500x1200</x:v>
      </x:c>
      <x:c r="N55" s="24" t="str">
        <x:v>반영</x:v>
      </x:c>
      <x:c r="O55" s="29" t="n">
        <x:f>IF(AND(N55="반영",ISNUMBER(H55)),H55,"미산정")</x:f>
        <x:v>911</x:v>
      </x:c>
      <x:c r="P55" s="24" t="str">
        <x:v>해당 없음</x:v>
      </x:c>
      <x:c r="Q55" s="13" t="str">
        <x:v>등록 품목·규격과 일치</x:v>
      </x:c>
      <x:c r="R55" s="81" t="n">
        <x:f>K55</x:f>
        <x:v>22</x:v>
      </x:c>
      <x:c r="S55" s="83" t="n">
        <x:f>MAX(0,MIN(1,($B$15-I55+1)/(J55-I55+1)))</x:f>
        <x:v>0</x:v>
      </x:c>
      <x:c r="T55" s="87" t="n">
        <x:f>IF(ISNUMBER(O55),IF(R55&lt;=$B$15,O55,0),"미산정")</x:f>
        <x:v>0</x:v>
      </x:c>
      <x:c r="U55" s="87" t="n">
        <x:f>IF(ISNUMBER(O55),MIN(T55,ROUND(O55*S55,0)),"미산정")</x:f>
        <x:v>0</x:v>
      </x:c>
      <x:c r="V55" s="87" t="n">
        <x:f>IF(ISNUMBER(O55),T55-U55,"미산정")</x:f>
        <x:v>0</x:v>
      </x:c>
      <x:c r="W55" s="87" t="n">
        <x:f>IF(ISNUMBER(O55),O55-T55,"미산정")</x:f>
        <x:v>911</x:v>
      </x:c>
      <x:c r="X55" s="87" t="n">
        <x:f>IF(ISNUMBER(O55),O55-U55,"미산정")</x:f>
        <x:v>911</x:v>
      </x:c>
    </x:row>
    <x:row r="56" ht="44" customHeight="1">
      <x:c r="A56" s="25" t="n">
        <x:v>46</x:v>
      </x:c>
      <x:c r="B56" s="25" t="str">
        <x:v>112동</x:v>
      </x:c>
      <x:c r="C56" s="6" t="str">
        <x:v>수직부 거푸집 설치</x:v>
      </x:c>
      <x:c r="D56" s="6" t="str">
        <x:v>EF-6012</x:v>
      </x:c>
      <x:c r="E56" s="6" t="str">
        <x:v>유로폼</x:v>
      </x:c>
      <x:c r="F56" s="6" t="str">
        <x:v>600×1,200mm</x:v>
      </x:c>
      <x:c r="G56" s="6" t="str">
        <x:v>장</x:v>
      </x:c>
      <x:c r="H56" s="18" t="n">
        <x:v>316</x:v>
      </x:c>
      <x:c r="I56" s="27" t="n">
        <x:v>23</x:v>
      </x:c>
      <x:c r="J56" s="27" t="n">
        <x:v>29</x:v>
      </x:c>
      <x:c r="K56" s="27" t="n">
        <x:v>22</x:v>
      </x:c>
      <x:c r="L56" s="6" t="str">
        <x:v>유로폼</x:v>
      </x:c>
      <x:c r="M56" s="6" t="str">
        <x:v>600x1200</x:v>
      </x:c>
      <x:c r="N56" s="25" t="str">
        <x:v>반영</x:v>
      </x:c>
      <x:c r="O56" s="30" t="n">
        <x:f>IF(AND(N56="반영",ISNUMBER(H56)),H56,"미산정")</x:f>
        <x:v>316</x:v>
      </x:c>
      <x:c r="P56" s="25" t="str">
        <x:v>해당 없음</x:v>
      </x:c>
      <x:c r="Q56" s="6" t="str">
        <x:v>등록 품목·규격과 일치</x:v>
      </x:c>
      <x:c r="R56" s="81" t="n">
        <x:f>K56</x:f>
        <x:v>22</x:v>
      </x:c>
      <x:c r="S56" s="84" t="n">
        <x:f>MAX(0,MIN(1,($B$15-I56+1)/(J56-I56+1)))</x:f>
        <x:v>0</x:v>
      </x:c>
      <x:c r="T56" s="88" t="n">
        <x:f>IF(ISNUMBER(O56),IF(R56&lt;=$B$15,O56,0),"미산정")</x:f>
        <x:v>0</x:v>
      </x:c>
      <x:c r="U56" s="88" t="n">
        <x:f>IF(ISNUMBER(O56),MIN(T56,ROUND(O56*S56,0)),"미산정")</x:f>
        <x:v>0</x:v>
      </x:c>
      <x:c r="V56" s="88" t="n">
        <x:f>IF(ISNUMBER(O56),T56-U56,"미산정")</x:f>
        <x:v>0</x:v>
      </x:c>
      <x:c r="W56" s="88" t="n">
        <x:f>IF(ISNUMBER(O56),O56-T56,"미산정")</x:f>
        <x:v>316</x:v>
      </x:c>
      <x:c r="X56" s="88" t="n">
        <x:f>IF(ISNUMBER(O56),O56-U56,"미산정")</x:f>
        <x:v>316</x:v>
      </x:c>
    </x:row>
    <x:row r="57" ht="44" customHeight="1">
      <x:c r="A57" s="24" t="n">
        <x:v>47</x:v>
      </x:c>
      <x:c r="B57" s="24" t="str">
        <x:v>112동</x:v>
      </x:c>
      <x:c r="C57" s="13" t="str">
        <x:v>수직부 거푸집 설치</x:v>
      </x:c>
      <x:c r="D57" s="13" t="str">
        <x:v>EF-3012</x:v>
      </x:c>
      <x:c r="E57" s="13" t="str">
        <x:v>유로폼</x:v>
      </x:c>
      <x:c r="F57" s="13" t="str">
        <x:v>300×1,200mm</x:v>
      </x:c>
      <x:c r="G57" s="13" t="str">
        <x:v>장</x:v>
      </x:c>
      <x:c r="H57" s="17" t="n">
        <x:v>253</x:v>
      </x:c>
      <x:c r="I57" s="26" t="n">
        <x:v>23</x:v>
      </x:c>
      <x:c r="J57" s="26" t="n">
        <x:v>29</x:v>
      </x:c>
      <x:c r="K57" s="26" t="n">
        <x:v>22</x:v>
      </x:c>
      <x:c r="L57" s="13" t="str">
        <x:v>유로폼</x:v>
      </x:c>
      <x:c r="M57" s="13" t="str">
        <x:v>300x1200</x:v>
      </x:c>
      <x:c r="N57" s="24" t="str">
        <x:v>반영</x:v>
      </x:c>
      <x:c r="O57" s="29" t="n">
        <x:f>IF(AND(N57="반영",ISNUMBER(H57)),H57,"미산정")</x:f>
        <x:v>253</x:v>
      </x:c>
      <x:c r="P57" s="24" t="str">
        <x:v>해당 없음</x:v>
      </x:c>
      <x:c r="Q57" s="13" t="str">
        <x:v>등록 품목·규격과 일치</x:v>
      </x:c>
      <x:c r="R57" s="81" t="n">
        <x:f>K57</x:f>
        <x:v>22</x:v>
      </x:c>
      <x:c r="S57" s="83" t="n">
        <x:f>MAX(0,MIN(1,($B$15-I57+1)/(J57-I57+1)))</x:f>
        <x:v>0</x:v>
      </x:c>
      <x:c r="T57" s="87" t="n">
        <x:f>IF(ISNUMBER(O57),IF(R57&lt;=$B$15,O57,0),"미산정")</x:f>
        <x:v>0</x:v>
      </x:c>
      <x:c r="U57" s="87" t="n">
        <x:f>IF(ISNUMBER(O57),MIN(T57,ROUND(O57*S57,0)),"미산정")</x:f>
        <x:v>0</x:v>
      </x:c>
      <x:c r="V57" s="87" t="n">
        <x:f>IF(ISNUMBER(O57),T57-U57,"미산정")</x:f>
        <x:v>0</x:v>
      </x:c>
      <x:c r="W57" s="87" t="n">
        <x:f>IF(ISNUMBER(O57),O57-T57,"미산정")</x:f>
        <x:v>253</x:v>
      </x:c>
      <x:c r="X57" s="87" t="n">
        <x:f>IF(ISNUMBER(O57),O57-U57,"미산정")</x:f>
        <x:v>253</x:v>
      </x:c>
    </x:row>
    <x:row r="58" ht="44" customHeight="1">
      <x:c r="A58" s="25" t="n">
        <x:v>48</x:v>
      </x:c>
      <x:c r="B58" s="25" t="str">
        <x:v>112동</x:v>
      </x:c>
      <x:c r="C58" s="6" t="str">
        <x:v>수직부 거푸집 설치</x:v>
      </x:c>
      <x:c r="D58" s="6" t="str">
        <x:v>EF-5006</x:v>
      </x:c>
      <x:c r="E58" s="6" t="str">
        <x:v>유로폼</x:v>
      </x:c>
      <x:c r="F58" s="6" t="str">
        <x:v>500×600mm</x:v>
      </x:c>
      <x:c r="G58" s="6" t="str">
        <x:v>장</x:v>
      </x:c>
      <x:c r="H58" s="18" t="n">
        <x:v>152</x:v>
      </x:c>
      <x:c r="I58" s="27" t="n">
        <x:v>23</x:v>
      </x:c>
      <x:c r="J58" s="27" t="n">
        <x:v>29</x:v>
      </x:c>
      <x:c r="K58" s="27" t="n">
        <x:v>22</x:v>
      </x:c>
      <x:c r="L58" s="6" t="str">
        <x:v>미등록</x:v>
      </x:c>
      <x:c r="M58" s="6" t="str">
        <x:v>미산정</x:v>
      </x:c>
      <x:c r="N58" s="28" t="str">
        <x:v>미산정</x:v>
      </x:c>
      <x:c r="O58" s="31" t="str">
        <x:f>IF(AND(N58="반영",ISNUMBER(H58)),H58,"미산정")</x:f>
        <x:v>미산정</x:v>
      </x:c>
      <x:c r="P58" s="28" t="str">
        <x:v>해당 없음</x:v>
      </x:c>
      <x:c r="Q58" s="14" t="str">
        <x:v>유로폼 500×600은 현재 웹 등록 규격에 없음</x:v>
      </x:c>
      <x:c r="R58" s="81" t="n">
        <x:f>K58</x:f>
        <x:v>22</x:v>
      </x:c>
      <x:c r="S58" s="84" t="n">
        <x:f>MAX(0,MIN(1,($B$15-I58+1)/(J58-I58+1)))</x:f>
        <x:v>0</x:v>
      </x:c>
      <x:c r="T58" s="88" t="str">
        <x:f>IF(ISNUMBER(O58),IF(R58&lt;=$B$15,O58,0),"미산정")</x:f>
        <x:v>미산정</x:v>
      </x:c>
      <x:c r="U58" s="88" t="str">
        <x:f>IF(ISNUMBER(O58),MIN(T58,ROUND(O58*S58,0)),"미산정")</x:f>
        <x:v>미산정</x:v>
      </x:c>
      <x:c r="V58" s="88" t="str">
        <x:f>IF(ISNUMBER(O58),T58-U58,"미산정")</x:f>
        <x:v>미산정</x:v>
      </x:c>
      <x:c r="W58" s="88" t="str">
        <x:f>IF(ISNUMBER(O58),O58-T58,"미산정")</x:f>
        <x:v>미산정</x:v>
      </x:c>
      <x:c r="X58" s="88" t="str">
        <x:f>IF(ISNUMBER(O58),O58-U58,"미산정")</x:f>
        <x:v>미산정</x:v>
      </x:c>
    </x:row>
    <x:row r="59" ht="44" customHeight="1">
      <x:c r="A59" s="24" t="n">
        <x:v>49</x:v>
      </x:c>
      <x:c r="B59" s="24" t="str">
        <x:v>112동</x:v>
      </x:c>
      <x:c r="C59" s="13" t="str">
        <x:v>수직부 거푸집 설치</x:v>
      </x:c>
      <x:c r="D59" s="13" t="str">
        <x:v>PW-1224</x:v>
      </x:c>
      <x:c r="E59" s="13" t="str">
        <x:v>코팅합판</x:v>
      </x:c>
      <x:c r="F59" s="13" t="str">
        <x:v>1,220×2,440×12mm</x:v>
      </x:c>
      <x:c r="G59" s="13" t="str">
        <x:v>장</x:v>
      </x:c>
      <x:c r="H59" s="17" t="n">
        <x:v>15</x:v>
      </x:c>
      <x:c r="I59" s="26" t="n">
        <x:v>23</x:v>
      </x:c>
      <x:c r="J59" s="26" t="n">
        <x:v>29</x:v>
      </x:c>
      <x:c r="K59" s="26" t="n">
        <x:v>22</x:v>
      </x:c>
      <x:c r="L59" s="13" t="str">
        <x:v>미등록</x:v>
      </x:c>
      <x:c r="M59" s="13" t="str">
        <x:v>미산정</x:v>
      </x:c>
      <x:c r="N59" s="28" t="str">
        <x:v>미산정</x:v>
      </x:c>
      <x:c r="O59" s="31" t="str">
        <x:f>IF(AND(N59="반영",ISNUMBER(H59)),H59,"미산정")</x:f>
        <x:v>미산정</x:v>
      </x:c>
      <x:c r="P59" s="28" t="str">
        <x:v>해당 없음</x:v>
      </x:c>
      <x:c r="Q59" s="14" t="str">
        <x:v>현재 웹 등록 품목에 없음. 다른 품목으로 대체하지 않음</x:v>
      </x:c>
      <x:c r="R59" s="81" t="n">
        <x:f>K59</x:f>
        <x:v>22</x:v>
      </x:c>
      <x:c r="S59" s="83" t="n">
        <x:f>MAX(0,MIN(1,($B$15-I59+1)/(J59-I59+1)))</x:f>
        <x:v>0</x:v>
      </x:c>
      <x:c r="T59" s="87" t="str">
        <x:f>IF(ISNUMBER(O59),IF(R59&lt;=$B$15,O59,0),"미산정")</x:f>
        <x:v>미산정</x:v>
      </x:c>
      <x:c r="U59" s="87" t="str">
        <x:f>IF(ISNUMBER(O59),MIN(T59,ROUND(O59*S59,0)),"미산정")</x:f>
        <x:v>미산정</x:v>
      </x:c>
      <x:c r="V59" s="87" t="str">
        <x:f>IF(ISNUMBER(O59),T59-U59,"미산정")</x:f>
        <x:v>미산정</x:v>
      </x:c>
      <x:c r="W59" s="87" t="str">
        <x:f>IF(ISNUMBER(O59),O59-T59,"미산정")</x:f>
        <x:v>미산정</x:v>
      </x:c>
      <x:c r="X59" s="87" t="str">
        <x:f>IF(ISNUMBER(O59),O59-U59,"미산정")</x:f>
        <x:v>미산정</x:v>
      </x:c>
    </x:row>
    <x:row r="60" ht="44" customHeight="1">
      <x:c r="A60" s="25" t="n">
        <x:v>50</x:v>
      </x:c>
      <x:c r="B60" s="25" t="str">
        <x:v>112동</x:v>
      </x:c>
      <x:c r="C60" s="6" t="str">
        <x:v>수직부 거푸집 설치</x:v>
      </x:c>
      <x:c r="D60" s="6" t="str">
        <x:v>IC-1012</x:v>
      </x:c>
      <x:c r="E60" s="6" t="str">
        <x:v>인코너</x:v>
      </x:c>
      <x:c r="F60" s="6" t="str">
        <x:v>100×100×1,200mm</x:v>
      </x:c>
      <x:c r="G60" s="6" t="str">
        <x:v>개</x:v>
      </x:c>
      <x:c r="H60" s="18" t="n">
        <x:v>70</x:v>
      </x:c>
      <x:c r="I60" s="27" t="n">
        <x:v>23</x:v>
      </x:c>
      <x:c r="J60" s="27" t="n">
        <x:v>29</x:v>
      </x:c>
      <x:c r="K60" s="27" t="n">
        <x:v>22</x:v>
      </x:c>
      <x:c r="L60" s="6" t="str">
        <x:v>미등록</x:v>
      </x:c>
      <x:c r="M60" s="6" t="str">
        <x:v>미산정</x:v>
      </x:c>
      <x:c r="N60" s="28" t="str">
        <x:v>미산정</x:v>
      </x:c>
      <x:c r="O60" s="31" t="str">
        <x:f>IF(AND(N60="반영",ISNUMBER(H60)),H60,"미산정")</x:f>
        <x:v>미산정</x:v>
      </x:c>
      <x:c r="P60" s="28" t="str">
        <x:v>해당 없음</x:v>
      </x:c>
      <x:c r="Q60" s="14" t="str">
        <x:v>현재 웹 등록 품목에 없음. 다른 품목으로 대체하지 않음</x:v>
      </x:c>
      <x:c r="R60" s="81" t="n">
        <x:f>K60</x:f>
        <x:v>22</x:v>
      </x:c>
      <x:c r="S60" s="84" t="n">
        <x:f>MAX(0,MIN(1,($B$15-I60+1)/(J60-I60+1)))</x:f>
        <x:v>0</x:v>
      </x:c>
      <x:c r="T60" s="88" t="str">
        <x:f>IF(ISNUMBER(O60),IF(R60&lt;=$B$15,O60,0),"미산정")</x:f>
        <x:v>미산정</x:v>
      </x:c>
      <x:c r="U60" s="88" t="str">
        <x:f>IF(ISNUMBER(O60),MIN(T60,ROUND(O60*S60,0)),"미산정")</x:f>
        <x:v>미산정</x:v>
      </x:c>
      <x:c r="V60" s="88" t="str">
        <x:f>IF(ISNUMBER(O60),T60-U60,"미산정")</x:f>
        <x:v>미산정</x:v>
      </x:c>
      <x:c r="W60" s="88" t="str">
        <x:f>IF(ISNUMBER(O60),O60-T60,"미산정")</x:f>
        <x:v>미산정</x:v>
      </x:c>
      <x:c r="X60" s="88" t="str">
        <x:f>IF(ISNUMBER(O60),O60-U60,"미산정")</x:f>
        <x:v>미산정</x:v>
      </x:c>
    </x:row>
    <x:row r="61" ht="44" customHeight="1">
      <x:c r="A61" s="24" t="n">
        <x:v>51</x:v>
      </x:c>
      <x:c r="B61" s="24" t="str">
        <x:v>112동</x:v>
      </x:c>
      <x:c r="C61" s="13" t="str">
        <x:v>수직부 거푸집 설치</x:v>
      </x:c>
      <x:c r="D61" s="13" t="str">
        <x:v>OC-12</x:v>
      </x:c>
      <x:c r="E61" s="13" t="str">
        <x:v>아웃코너</x:v>
      </x:c>
      <x:c r="F61" s="13" t="str">
        <x:v>길이 1,200mm</x:v>
      </x:c>
      <x:c r="G61" s="13" t="str">
        <x:v>개</x:v>
      </x:c>
      <x:c r="H61" s="17" t="n">
        <x:v>360</x:v>
      </x:c>
      <x:c r="I61" s="26" t="n">
        <x:v>23</x:v>
      </x:c>
      <x:c r="J61" s="26" t="n">
        <x:v>29</x:v>
      </x:c>
      <x:c r="K61" s="26" t="n">
        <x:v>22</x:v>
      </x:c>
      <x:c r="L61" s="13" t="str">
        <x:v>미등록</x:v>
      </x:c>
      <x:c r="M61" s="13" t="str">
        <x:v>미산정</x:v>
      </x:c>
      <x:c r="N61" s="28" t="str">
        <x:v>미산정</x:v>
      </x:c>
      <x:c r="O61" s="31" t="str">
        <x:f>IF(AND(N61="반영",ISNUMBER(H61)),H61,"미산정")</x:f>
        <x:v>미산정</x:v>
      </x:c>
      <x:c r="P61" s="28" t="str">
        <x:v>해당 없음</x:v>
      </x:c>
      <x:c r="Q61" s="14" t="str">
        <x:v>현재 웹 등록 품목에 없음. 다른 품목으로 대체하지 않음</x:v>
      </x:c>
      <x:c r="R61" s="81" t="n">
        <x:f>K61</x:f>
        <x:v>22</x:v>
      </x:c>
      <x:c r="S61" s="83" t="n">
        <x:f>MAX(0,MIN(1,($B$15-I61+1)/(J61-I61+1)))</x:f>
        <x:v>0</x:v>
      </x:c>
      <x:c r="T61" s="87" t="str">
        <x:f>IF(ISNUMBER(O61),IF(R61&lt;=$B$15,O61,0),"미산정")</x:f>
        <x:v>미산정</x:v>
      </x:c>
      <x:c r="U61" s="87" t="str">
        <x:f>IF(ISNUMBER(O61),MIN(T61,ROUND(O61*S61,0)),"미산정")</x:f>
        <x:v>미산정</x:v>
      </x:c>
      <x:c r="V61" s="87" t="str">
        <x:f>IF(ISNUMBER(O61),T61-U61,"미산정")</x:f>
        <x:v>미산정</x:v>
      </x:c>
      <x:c r="W61" s="87" t="str">
        <x:f>IF(ISNUMBER(O61),O61-T61,"미산정")</x:f>
        <x:v>미산정</x:v>
      </x:c>
      <x:c r="X61" s="87" t="str">
        <x:f>IF(ISNUMBER(O61),O61-U61,"미산정")</x:f>
        <x:v>미산정</x:v>
      </x:c>
    </x:row>
    <x:row r="62" ht="44" customHeight="1">
      <x:c r="A62" s="25" t="n">
        <x:v>52</x:v>
      </x:c>
      <x:c r="B62" s="25" t="str">
        <x:v>112동</x:v>
      </x:c>
      <x:c r="C62" s="6" t="str">
        <x:v>시스템동바리 조립</x:v>
      </x:c>
      <x:c r="D62" s="6" t="str">
        <x:v>SV-1725</x:v>
      </x:c>
      <x:c r="E62" s="6" t="str">
        <x:v>수직재</x:v>
      </x:c>
      <x:c r="F62" s="6" t="str">
        <x:v>Ø60.5 / L=1,725mm</x:v>
      </x:c>
      <x:c r="G62" s="6" t="str">
        <x:v>본</x:v>
      </x:c>
      <x:c r="H62" s="18" t="n">
        <x:v>979</x:v>
      </x:c>
      <x:c r="I62" s="27" t="n">
        <x:v>30</x:v>
      </x:c>
      <x:c r="J62" s="27" t="n">
        <x:v>32</x:v>
      </x:c>
      <x:c r="K62" s="27" t="n">
        <x:v>29</x:v>
      </x:c>
      <x:c r="L62" s="6" t="str">
        <x:v>미등록</x:v>
      </x:c>
      <x:c r="M62" s="6" t="str">
        <x:v>미산정</x:v>
      </x:c>
      <x:c r="N62" s="28" t="str">
        <x:v>미산정</x:v>
      </x:c>
      <x:c r="O62" s="31" t="str">
        <x:f>IF(AND(N62="반영",ISNUMBER(H62)),H62,"미산정")</x:f>
        <x:v>미산정</x:v>
      </x:c>
      <x:c r="P62" s="28" t="str">
        <x:v>해당 없음</x:v>
      </x:c>
      <x:c r="Q62" s="14" t="str">
        <x:v>원자료 치수·DSD 코드와 웹 P·H·OB 규격의 동일성 미확인</x:v>
      </x:c>
      <x:c r="R62" s="81" t="n">
        <x:f>K62</x:f>
        <x:v>29</x:v>
      </x:c>
      <x:c r="S62" s="84" t="n">
        <x:f>MAX(0,MIN(1,($B$15-I62+1)/(J62-I62+1)))</x:f>
        <x:v>0</x:v>
      </x:c>
      <x:c r="T62" s="88" t="str">
        <x:f>IF(ISNUMBER(O62),IF(R62&lt;=$B$15,O62,0),"미산정")</x:f>
        <x:v>미산정</x:v>
      </x:c>
      <x:c r="U62" s="88" t="str">
        <x:f>IF(ISNUMBER(O62),MIN(T62,ROUND(O62*S62,0)),"미산정")</x:f>
        <x:v>미산정</x:v>
      </x:c>
      <x:c r="V62" s="88" t="str">
        <x:f>IF(ISNUMBER(O62),T62-U62,"미산정")</x:f>
        <x:v>미산정</x:v>
      </x:c>
      <x:c r="W62" s="88" t="str">
        <x:f>IF(ISNUMBER(O62),O62-T62,"미산정")</x:f>
        <x:v>미산정</x:v>
      </x:c>
      <x:c r="X62" s="88" t="str">
        <x:f>IF(ISNUMBER(O62),O62-U62,"미산정")</x:f>
        <x:v>미산정</x:v>
      </x:c>
    </x:row>
    <x:row r="63" ht="44" customHeight="1">
      <x:c r="A63" s="24" t="n">
        <x:v>53</x:v>
      </x:c>
      <x:c r="B63" s="24" t="str">
        <x:v>112동</x:v>
      </x:c>
      <x:c r="C63" s="13" t="str">
        <x:v>시스템동바리 조립</x:v>
      </x:c>
      <x:c r="D63" s="13" t="str">
        <x:v>SV-1291</x:v>
      </x:c>
      <x:c r="E63" s="13" t="str">
        <x:v>수직재</x:v>
      </x:c>
      <x:c r="F63" s="13" t="str">
        <x:v>Ø60.5 / L=1,291mm</x:v>
      </x:c>
      <x:c r="G63" s="13" t="str">
        <x:v>본</x:v>
      </x:c>
      <x:c r="H63" s="17" t="n">
        <x:v>197</x:v>
      </x:c>
      <x:c r="I63" s="26" t="n">
        <x:v>30</x:v>
      </x:c>
      <x:c r="J63" s="26" t="n">
        <x:v>32</x:v>
      </x:c>
      <x:c r="K63" s="26" t="n">
        <x:v>29</x:v>
      </x:c>
      <x:c r="L63" s="13" t="str">
        <x:v>미등록</x:v>
      </x:c>
      <x:c r="M63" s="13" t="str">
        <x:v>미산정</x:v>
      </x:c>
      <x:c r="N63" s="28" t="str">
        <x:v>미산정</x:v>
      </x:c>
      <x:c r="O63" s="31" t="str">
        <x:f>IF(AND(N63="반영",ISNUMBER(H63)),H63,"미산정")</x:f>
        <x:v>미산정</x:v>
      </x:c>
      <x:c r="P63" s="28" t="str">
        <x:v>해당 없음</x:v>
      </x:c>
      <x:c r="Q63" s="14" t="str">
        <x:v>원자료 치수·DSD 코드와 웹 P·H·OB 규격의 동일성 미확인</x:v>
      </x:c>
      <x:c r="R63" s="81" t="n">
        <x:f>K63</x:f>
        <x:v>29</x:v>
      </x:c>
      <x:c r="S63" s="83" t="n">
        <x:f>MAX(0,MIN(1,($B$15-I63+1)/(J63-I63+1)))</x:f>
        <x:v>0</x:v>
      </x:c>
      <x:c r="T63" s="87" t="str">
        <x:f>IF(ISNUMBER(O63),IF(R63&lt;=$B$15,O63,0),"미산정")</x:f>
        <x:v>미산정</x:v>
      </x:c>
      <x:c r="U63" s="87" t="str">
        <x:f>IF(ISNUMBER(O63),MIN(T63,ROUND(O63*S63,0)),"미산정")</x:f>
        <x:v>미산정</x:v>
      </x:c>
      <x:c r="V63" s="87" t="str">
        <x:f>IF(ISNUMBER(O63),T63-U63,"미산정")</x:f>
        <x:v>미산정</x:v>
      </x:c>
      <x:c r="W63" s="87" t="str">
        <x:f>IF(ISNUMBER(O63),O63-T63,"미산정")</x:f>
        <x:v>미산정</x:v>
      </x:c>
      <x:c r="X63" s="87" t="str">
        <x:f>IF(ISNUMBER(O63),O63-U63,"미산정")</x:f>
        <x:v>미산정</x:v>
      </x:c>
    </x:row>
    <x:row r="64" ht="44" customHeight="1">
      <x:c r="A64" s="25" t="n">
        <x:v>54</x:v>
      </x:c>
      <x:c r="B64" s="25" t="str">
        <x:v>112동</x:v>
      </x:c>
      <x:c r="C64" s="6" t="str">
        <x:v>시스템동바리 조립</x:v>
      </x:c>
      <x:c r="D64" s="6" t="str">
        <x:v>SV-0863</x:v>
      </x:c>
      <x:c r="E64" s="6" t="str">
        <x:v>수직재</x:v>
      </x:c>
      <x:c r="F64" s="6" t="str">
        <x:v>Ø60.5 / L=863mm</x:v>
      </x:c>
      <x:c r="G64" s="6" t="str">
        <x:v>본</x:v>
      </x:c>
      <x:c r="H64" s="18" t="n">
        <x:v>588</x:v>
      </x:c>
      <x:c r="I64" s="27" t="n">
        <x:v>30</x:v>
      </x:c>
      <x:c r="J64" s="27" t="n">
        <x:v>32</x:v>
      </x:c>
      <x:c r="K64" s="27" t="n">
        <x:v>29</x:v>
      </x:c>
      <x:c r="L64" s="6" t="str">
        <x:v>미등록</x:v>
      </x:c>
      <x:c r="M64" s="6" t="str">
        <x:v>미산정</x:v>
      </x:c>
      <x:c r="N64" s="28" t="str">
        <x:v>미산정</x:v>
      </x:c>
      <x:c r="O64" s="31" t="str">
        <x:f>IF(AND(N64="반영",ISNUMBER(H64)),H64,"미산정")</x:f>
        <x:v>미산정</x:v>
      </x:c>
      <x:c r="P64" s="28" t="str">
        <x:v>해당 없음</x:v>
      </x:c>
      <x:c r="Q64" s="14" t="str">
        <x:v>원자료 치수·DSD 코드와 웹 P·H·OB 규격의 동일성 미확인</x:v>
      </x:c>
      <x:c r="R64" s="81" t="n">
        <x:f>K64</x:f>
        <x:v>29</x:v>
      </x:c>
      <x:c r="S64" s="84" t="n">
        <x:f>MAX(0,MIN(1,($B$15-I64+1)/(J64-I64+1)))</x:f>
        <x:v>0</x:v>
      </x:c>
      <x:c r="T64" s="88" t="str">
        <x:f>IF(ISNUMBER(O64),IF(R64&lt;=$B$15,O64,0),"미산정")</x:f>
        <x:v>미산정</x:v>
      </x:c>
      <x:c r="U64" s="88" t="str">
        <x:f>IF(ISNUMBER(O64),MIN(T64,ROUND(O64*S64,0)),"미산정")</x:f>
        <x:v>미산정</x:v>
      </x:c>
      <x:c r="V64" s="88" t="str">
        <x:f>IF(ISNUMBER(O64),T64-U64,"미산정")</x:f>
        <x:v>미산정</x:v>
      </x:c>
      <x:c r="W64" s="88" t="str">
        <x:f>IF(ISNUMBER(O64),O64-T64,"미산정")</x:f>
        <x:v>미산정</x:v>
      </x:c>
      <x:c r="X64" s="88" t="str">
        <x:f>IF(ISNUMBER(O64),O64-U64,"미산정")</x:f>
        <x:v>미산정</x:v>
      </x:c>
    </x:row>
    <x:row r="65" ht="44" customHeight="1">
      <x:c r="A65" s="24" t="n">
        <x:v>55</x:v>
      </x:c>
      <x:c r="B65" s="24" t="str">
        <x:v>112동</x:v>
      </x:c>
      <x:c r="C65" s="13" t="str">
        <x:v>시스템동바리 조립</x:v>
      </x:c>
      <x:c r="D65" s="13" t="str">
        <x:v>SH-1219</x:v>
      </x:c>
      <x:c r="E65" s="13" t="str">
        <x:v>수평재</x:v>
      </x:c>
      <x:c r="F65" s="13" t="str">
        <x:v>Ø42.7 / 호칭 L=1,219mm</x:v>
      </x:c>
      <x:c r="G65" s="13" t="str">
        <x:v>본</x:v>
      </x:c>
      <x:c r="H65" s="17" t="n">
        <x:v>4508</x:v>
      </x:c>
      <x:c r="I65" s="26" t="n">
        <x:v>30</x:v>
      </x:c>
      <x:c r="J65" s="26" t="n">
        <x:v>32</x:v>
      </x:c>
      <x:c r="K65" s="26" t="n">
        <x:v>29</x:v>
      </x:c>
      <x:c r="L65" s="13" t="str">
        <x:v>미등록</x:v>
      </x:c>
      <x:c r="M65" s="13" t="str">
        <x:v>미산정</x:v>
      </x:c>
      <x:c r="N65" s="28" t="str">
        <x:v>미산정</x:v>
      </x:c>
      <x:c r="O65" s="31" t="str">
        <x:f>IF(AND(N65="반영",ISNUMBER(H65)),H65,"미산정")</x:f>
        <x:v>미산정</x:v>
      </x:c>
      <x:c r="P65" s="28" t="str">
        <x:v>해당 없음</x:v>
      </x:c>
      <x:c r="Q65" s="14" t="str">
        <x:v>원자료 치수·DSD 코드와 웹 P·H·OB 규격의 동일성 미확인</x:v>
      </x:c>
      <x:c r="R65" s="81" t="n">
        <x:f>K65</x:f>
        <x:v>29</x:v>
      </x:c>
      <x:c r="S65" s="83" t="n">
        <x:f>MAX(0,MIN(1,($B$15-I65+1)/(J65-I65+1)))</x:f>
        <x:v>0</x:v>
      </x:c>
      <x:c r="T65" s="87" t="str">
        <x:f>IF(ISNUMBER(O65),IF(R65&lt;=$B$15,O65,0),"미산정")</x:f>
        <x:v>미산정</x:v>
      </x:c>
      <x:c r="U65" s="87" t="str">
        <x:f>IF(ISNUMBER(O65),MIN(T65,ROUND(O65*S65,0)),"미산정")</x:f>
        <x:v>미산정</x:v>
      </x:c>
      <x:c r="V65" s="87" t="str">
        <x:f>IF(ISNUMBER(O65),T65-U65,"미산정")</x:f>
        <x:v>미산정</x:v>
      </x:c>
      <x:c r="W65" s="87" t="str">
        <x:f>IF(ISNUMBER(O65),O65-T65,"미산정")</x:f>
        <x:v>미산정</x:v>
      </x:c>
      <x:c r="X65" s="87" t="str">
        <x:f>IF(ISNUMBER(O65),O65-U65,"미산정")</x:f>
        <x:v>미산정</x:v>
      </x:c>
    </x:row>
    <x:row r="66" ht="44" customHeight="1">
      <x:c r="A66" s="25" t="n">
        <x:v>56</x:v>
      </x:c>
      <x:c r="B66" s="25" t="str">
        <x:v>112동</x:v>
      </x:c>
      <x:c r="C66" s="6" t="str">
        <x:v>시스템동바리 조립</x:v>
      </x:c>
      <x:c r="D66" s="6" t="str">
        <x:v>SB-1712</x:v>
      </x:c>
      <x:c r="E66" s="6" t="str">
        <x:v>가새재</x:v>
      </x:c>
      <x:c r="F66" s="6" t="str">
        <x:v>DSD-1712 / L=1,974mm</x:v>
      </x:c>
      <x:c r="G66" s="6" t="str">
        <x:v>본</x:v>
      </x:c>
      <x:c r="H66" s="18" t="n">
        <x:v>470</x:v>
      </x:c>
      <x:c r="I66" s="27" t="n">
        <x:v>30</x:v>
      </x:c>
      <x:c r="J66" s="27" t="n">
        <x:v>32</x:v>
      </x:c>
      <x:c r="K66" s="27" t="n">
        <x:v>29</x:v>
      </x:c>
      <x:c r="L66" s="6" t="str">
        <x:v>미등록</x:v>
      </x:c>
      <x:c r="M66" s="6" t="str">
        <x:v>미산정</x:v>
      </x:c>
      <x:c r="N66" s="28" t="str">
        <x:v>미산정</x:v>
      </x:c>
      <x:c r="O66" s="31" t="str">
        <x:f>IF(AND(N66="반영",ISNUMBER(H66)),H66,"미산정")</x:f>
        <x:v>미산정</x:v>
      </x:c>
      <x:c r="P66" s="28" t="str">
        <x:v>해당 없음</x:v>
      </x:c>
      <x:c r="Q66" s="14" t="str">
        <x:v>원자료 치수·DSD 코드와 웹 P·H·OB 규격의 동일성 미확인</x:v>
      </x:c>
      <x:c r="R66" s="81" t="n">
        <x:f>K66</x:f>
        <x:v>29</x:v>
      </x:c>
      <x:c r="S66" s="84" t="n">
        <x:f>MAX(0,MIN(1,($B$15-I66+1)/(J66-I66+1)))</x:f>
        <x:v>0</x:v>
      </x:c>
      <x:c r="T66" s="88" t="str">
        <x:f>IF(ISNUMBER(O66),IF(R66&lt;=$B$15,O66,0),"미산정")</x:f>
        <x:v>미산정</x:v>
      </x:c>
      <x:c r="U66" s="88" t="str">
        <x:f>IF(ISNUMBER(O66),MIN(T66,ROUND(O66*S66,0)),"미산정")</x:f>
        <x:v>미산정</x:v>
      </x:c>
      <x:c r="V66" s="88" t="str">
        <x:f>IF(ISNUMBER(O66),T66-U66,"미산정")</x:f>
        <x:v>미산정</x:v>
      </x:c>
      <x:c r="W66" s="88" t="str">
        <x:f>IF(ISNUMBER(O66),O66-T66,"미산정")</x:f>
        <x:v>미산정</x:v>
      </x:c>
      <x:c r="X66" s="88" t="str">
        <x:f>IF(ISNUMBER(O66),O66-U66,"미산정")</x:f>
        <x:v>미산정</x:v>
      </x:c>
    </x:row>
    <x:row r="67" ht="44" customHeight="1">
      <x:c r="A67" s="24" t="n">
        <x:v>57</x:v>
      </x:c>
      <x:c r="B67" s="24" t="str">
        <x:v>112동</x:v>
      </x:c>
      <x:c r="C67" s="13" t="str">
        <x:v>시스템동바리 조립</x:v>
      </x:c>
      <x:c r="D67" s="13" t="str">
        <x:v>SB-1212</x:v>
      </x:c>
      <x:c r="E67" s="13" t="str">
        <x:v>가새재</x:v>
      </x:c>
      <x:c r="F67" s="13" t="str">
        <x:v>DSD-1212 / L=1,609mm</x:v>
      </x:c>
      <x:c r="G67" s="13" t="str">
        <x:v>본</x:v>
      </x:c>
      <x:c r="H67" s="17" t="n">
        <x:v>95</x:v>
      </x:c>
      <x:c r="I67" s="26" t="n">
        <x:v>30</x:v>
      </x:c>
      <x:c r="J67" s="26" t="n">
        <x:v>32</x:v>
      </x:c>
      <x:c r="K67" s="26" t="n">
        <x:v>29</x:v>
      </x:c>
      <x:c r="L67" s="13" t="str">
        <x:v>미등록</x:v>
      </x:c>
      <x:c r="M67" s="13" t="str">
        <x:v>미산정</x:v>
      </x:c>
      <x:c r="N67" s="28" t="str">
        <x:v>미산정</x:v>
      </x:c>
      <x:c r="O67" s="31" t="str">
        <x:f>IF(AND(N67="반영",ISNUMBER(H67)),H67,"미산정")</x:f>
        <x:v>미산정</x:v>
      </x:c>
      <x:c r="P67" s="28" t="str">
        <x:v>해당 없음</x:v>
      </x:c>
      <x:c r="Q67" s="14" t="str">
        <x:v>원자료 치수·DSD 코드와 웹 P·H·OB 규격의 동일성 미확인</x:v>
      </x:c>
      <x:c r="R67" s="81" t="n">
        <x:f>K67</x:f>
        <x:v>29</x:v>
      </x:c>
      <x:c r="S67" s="83" t="n">
        <x:f>MAX(0,MIN(1,($B$15-I67+1)/(J67-I67+1)))</x:f>
        <x:v>0</x:v>
      </x:c>
      <x:c r="T67" s="87" t="str">
        <x:f>IF(ISNUMBER(O67),IF(R67&lt;=$B$15,O67,0),"미산정")</x:f>
        <x:v>미산정</x:v>
      </x:c>
      <x:c r="U67" s="87" t="str">
        <x:f>IF(ISNUMBER(O67),MIN(T67,ROUND(O67*S67,0)),"미산정")</x:f>
        <x:v>미산정</x:v>
      </x:c>
      <x:c r="V67" s="87" t="str">
        <x:f>IF(ISNUMBER(O67),T67-U67,"미산정")</x:f>
        <x:v>미산정</x:v>
      </x:c>
      <x:c r="W67" s="87" t="str">
        <x:f>IF(ISNUMBER(O67),O67-T67,"미산정")</x:f>
        <x:v>미산정</x:v>
      </x:c>
      <x:c r="X67" s="87" t="str">
        <x:f>IF(ISNUMBER(O67),O67-U67,"미산정")</x:f>
        <x:v>미산정</x:v>
      </x:c>
    </x:row>
    <x:row r="68" ht="44" customHeight="1">
      <x:c r="A68" s="25" t="n">
        <x:v>58</x:v>
      </x:c>
      <x:c r="B68" s="25" t="str">
        <x:v>112동</x:v>
      </x:c>
      <x:c r="C68" s="6" t="str">
        <x:v>시스템동바리 조립</x:v>
      </x:c>
      <x:c r="D68" s="6" t="str">
        <x:v>SB-0812</x:v>
      </x:c>
      <x:c r="E68" s="6" t="str">
        <x:v>가새재</x:v>
      </x:c>
      <x:c r="F68" s="6" t="str">
        <x:v>DSD-0812 / L=1,290mm</x:v>
      </x:c>
      <x:c r="G68" s="6" t="str">
        <x:v>본</x:v>
      </x:c>
      <x:c r="H68" s="18" t="n">
        <x:v>282</x:v>
      </x:c>
      <x:c r="I68" s="27" t="n">
        <x:v>30</x:v>
      </x:c>
      <x:c r="J68" s="27" t="n">
        <x:v>32</x:v>
      </x:c>
      <x:c r="K68" s="27" t="n">
        <x:v>29</x:v>
      </x:c>
      <x:c r="L68" s="6" t="str">
        <x:v>미등록</x:v>
      </x:c>
      <x:c r="M68" s="6" t="str">
        <x:v>미산정</x:v>
      </x:c>
      <x:c r="N68" s="28" t="str">
        <x:v>미산정</x:v>
      </x:c>
      <x:c r="O68" s="31" t="str">
        <x:f>IF(AND(N68="반영",ISNUMBER(H68)),H68,"미산정")</x:f>
        <x:v>미산정</x:v>
      </x:c>
      <x:c r="P68" s="28" t="str">
        <x:v>해당 없음</x:v>
      </x:c>
      <x:c r="Q68" s="14" t="str">
        <x:v>원자료 치수·DSD 코드와 웹 P·H·OB 규격의 동일성 미확인</x:v>
      </x:c>
      <x:c r="R68" s="81" t="n">
        <x:f>K68</x:f>
        <x:v>29</x:v>
      </x:c>
      <x:c r="S68" s="84" t="n">
        <x:f>MAX(0,MIN(1,($B$15-I68+1)/(J68-I68+1)))</x:f>
        <x:v>0</x:v>
      </x:c>
      <x:c r="T68" s="88" t="str">
        <x:f>IF(ISNUMBER(O68),IF(R68&lt;=$B$15,O68,0),"미산정")</x:f>
        <x:v>미산정</x:v>
      </x:c>
      <x:c r="U68" s="88" t="str">
        <x:f>IF(ISNUMBER(O68),MIN(T68,ROUND(O68*S68,0)),"미산정")</x:f>
        <x:v>미산정</x:v>
      </x:c>
      <x:c r="V68" s="88" t="str">
        <x:f>IF(ISNUMBER(O68),T68-U68,"미산정")</x:f>
        <x:v>미산정</x:v>
      </x:c>
      <x:c r="W68" s="88" t="str">
        <x:f>IF(ISNUMBER(O68),O68-T68,"미산정")</x:f>
        <x:v>미산정</x:v>
      </x:c>
      <x:c r="X68" s="88" t="str">
        <x:f>IF(ISNUMBER(O68),O68-U68,"미산정")</x:f>
        <x:v>미산정</x:v>
      </x:c>
    </x:row>
    <x:row r="69" ht="44" customHeight="1">
      <x:c r="A69" s="24" t="n">
        <x:v>59</x:v>
      </x:c>
      <x:c r="B69" s="24" t="str">
        <x:v>112동</x:v>
      </x:c>
      <x:c r="C69" s="13" t="str">
        <x:v>시스템동바리 조립</x:v>
      </x:c>
      <x:c r="D69" s="13" t="str">
        <x:v>UJ-600</x:v>
      </x:c>
      <x:c r="E69" s="13" t="str">
        <x:v>U헤드 잭</x:v>
      </x:c>
      <x:c r="F69" s="13" t="str">
        <x:v>Ø45 / L=600mm</x:v>
      </x:c>
      <x:c r="G69" s="13" t="str">
        <x:v>개</x:v>
      </x:c>
      <x:c r="H69" s="17" t="n">
        <x:v>588</x:v>
      </x:c>
      <x:c r="I69" s="26" t="n">
        <x:v>30</x:v>
      </x:c>
      <x:c r="J69" s="26" t="n">
        <x:v>32</x:v>
      </x:c>
      <x:c r="K69" s="26" t="n">
        <x:v>29</x:v>
      </x:c>
      <x:c r="L69" s="13" t="str">
        <x:v>시스템서포트</x:v>
      </x:c>
      <x:c r="M69" s="13" t="str">
        <x:v>동바리 상부자키</x:v>
      </x:c>
      <x:c r="N69" s="24" t="str">
        <x:v>반영</x:v>
      </x:c>
      <x:c r="O69" s="29" t="n">
        <x:f>IF(AND(N69="반영",ISNUMBER(H69)),H69,"미산정")</x:f>
        <x:v>588</x:v>
      </x:c>
      <x:c r="P69" s="24" t="str">
        <x:v>해당 없음</x:v>
      </x:c>
      <x:c r="Q69" s="13" t="str">
        <x:v>U헤드 잭 → 등록된 동바리 상부자키. 원자료 치수 별도 보존</x:v>
      </x:c>
      <x:c r="R69" s="81" t="n">
        <x:f>K69</x:f>
        <x:v>29</x:v>
      </x:c>
      <x:c r="S69" s="83" t="n">
        <x:f>MAX(0,MIN(1,($B$15-I69+1)/(J69-I69+1)))</x:f>
        <x:v>0</x:v>
      </x:c>
      <x:c r="T69" s="87" t="n">
        <x:f>IF(ISNUMBER(O69),IF(R69&lt;=$B$15,O69,0),"미산정")</x:f>
        <x:v>0</x:v>
      </x:c>
      <x:c r="U69" s="87" t="n">
        <x:f>IF(ISNUMBER(O69),MIN(T69,ROUND(O69*S69,0)),"미산정")</x:f>
        <x:v>0</x:v>
      </x:c>
      <x:c r="V69" s="87" t="n">
        <x:f>IF(ISNUMBER(O69),T69-U69,"미산정")</x:f>
        <x:v>0</x:v>
      </x:c>
      <x:c r="W69" s="87" t="n">
        <x:f>IF(ISNUMBER(O69),O69-T69,"미산정")</x:f>
        <x:v>588</x:v>
      </x:c>
      <x:c r="X69" s="87" t="n">
        <x:f>IF(ISNUMBER(O69),O69-U69,"미산정")</x:f>
        <x:v>588</x:v>
      </x:c>
    </x:row>
    <x:row r="70" ht="44" customHeight="1">
      <x:c r="A70" s="25" t="n">
        <x:v>60</x:v>
      </x:c>
      <x:c r="B70" s="25" t="str">
        <x:v>112동</x:v>
      </x:c>
      <x:c r="C70" s="6" t="str">
        <x:v>시스템동바리 조립</x:v>
      </x:c>
      <x:c r="D70" s="6" t="str">
        <x:v>BJ-600</x:v>
      </x:c>
      <x:c r="E70" s="6" t="str">
        <x:v>베이스 잭</x:v>
      </x:c>
      <x:c r="F70" s="6" t="str">
        <x:v>Ø45 / L=600mm</x:v>
      </x:c>
      <x:c r="G70" s="6" t="str">
        <x:v>개</x:v>
      </x:c>
      <x:c r="H70" s="18" t="n">
        <x:v>588</x:v>
      </x:c>
      <x:c r="I70" s="27" t="n">
        <x:v>30</x:v>
      </x:c>
      <x:c r="J70" s="27" t="n">
        <x:v>32</x:v>
      </x:c>
      <x:c r="K70" s="27" t="n">
        <x:v>29</x:v>
      </x:c>
      <x:c r="L70" s="6" t="str">
        <x:v>시스템서포트</x:v>
      </x:c>
      <x:c r="M70" s="6" t="str">
        <x:v>동바리 하부자키</x:v>
      </x:c>
      <x:c r="N70" s="25" t="str">
        <x:v>반영</x:v>
      </x:c>
      <x:c r="O70" s="30" t="n">
        <x:f>IF(AND(N70="반영",ISNUMBER(H70)),H70,"미산정")</x:f>
        <x:v>588</x:v>
      </x:c>
      <x:c r="P70" s="25" t="str">
        <x:v>해당 없음</x:v>
      </x:c>
      <x:c r="Q70" s="6" t="str">
        <x:v>베이스 잭 → 등록된 동바리 하부자키. 원자료 치수 별도 보존</x:v>
      </x:c>
      <x:c r="R70" s="81" t="n">
        <x:f>K70</x:f>
        <x:v>29</x:v>
      </x:c>
      <x:c r="S70" s="84" t="n">
        <x:f>MAX(0,MIN(1,($B$15-I70+1)/(J70-I70+1)))</x:f>
        <x:v>0</x:v>
      </x:c>
      <x:c r="T70" s="88" t="n">
        <x:f>IF(ISNUMBER(O70),IF(R70&lt;=$B$15,O70,0),"미산정")</x:f>
        <x:v>0</x:v>
      </x:c>
      <x:c r="U70" s="88" t="n">
        <x:f>IF(ISNUMBER(O70),MIN(T70,ROUND(O70*S70,0)),"미산정")</x:f>
        <x:v>0</x:v>
      </x:c>
      <x:c r="V70" s="88" t="n">
        <x:f>IF(ISNUMBER(O70),T70-U70,"미산정")</x:f>
        <x:v>0</x:v>
      </x:c>
      <x:c r="W70" s="88" t="n">
        <x:f>IF(ISNUMBER(O70),O70-T70,"미산정")</x:f>
        <x:v>588</x:v>
      </x:c>
      <x:c r="X70" s="88" t="n">
        <x:f>IF(ISNUMBER(O70),O70-U70,"미산정")</x:f>
        <x:v>588</x:v>
      </x:c>
    </x:row>
    <x:row r="71" ht="44" customHeight="1">
      <x:c r="A71" s="24" t="n">
        <x:v>61</x:v>
      </x:c>
      <x:c r="B71" s="24" t="str">
        <x:v>112동</x:v>
      </x:c>
      <x:c r="C71" s="13" t="str">
        <x:v>시스템동바리 조립</x:v>
      </x:c>
      <x:c r="D71" s="13" t="str">
        <x:v>CP-120</x:v>
      </x:c>
      <x:c r="E71" s="13" t="str">
        <x:v>연결 카프링</x:v>
      </x:c>
      <x:c r="F71" s="13" t="str">
        <x:v>Ø60.5 / L=120mm</x:v>
      </x:c>
      <x:c r="G71" s="13" t="str">
        <x:v>개</x:v>
      </x:c>
      <x:c r="H71" s="17" t="n">
        <x:v>1176</x:v>
      </x:c>
      <x:c r="I71" s="26" t="n">
        <x:v>30</x:v>
      </x:c>
      <x:c r="J71" s="26" t="n">
        <x:v>32</x:v>
      </x:c>
      <x:c r="K71" s="26" t="n">
        <x:v>29</x:v>
      </x:c>
      <x:c r="L71" s="13" t="str">
        <x:v>시스템서포트</x:v>
      </x:c>
      <x:c r="M71" s="13" t="str">
        <x:v>카플링(소켓)</x:v>
      </x:c>
      <x:c r="N71" s="24" t="str">
        <x:v>반영</x:v>
      </x:c>
      <x:c r="O71" s="29" t="n">
        <x:f>IF(AND(N71="반영",ISNUMBER(H71)),H71,"미산정")</x:f>
        <x:v>1176</x:v>
      </x:c>
      <x:c r="P71" s="24" t="str">
        <x:v>해당 없음</x:v>
      </x:c>
      <x:c r="Q71" s="13" t="str">
        <x:v>연결 카플링 → 등록된 카플링(소켓). 원자료 치수 별도 보존</x:v>
      </x:c>
      <x:c r="R71" s="81" t="n">
        <x:f>K71</x:f>
        <x:v>29</x:v>
      </x:c>
      <x:c r="S71" s="83" t="n">
        <x:f>MAX(0,MIN(1,($B$15-I71+1)/(J71-I71+1)))</x:f>
        <x:v>0</x:v>
      </x:c>
      <x:c r="T71" s="87" t="n">
        <x:f>IF(ISNUMBER(O71),IF(R71&lt;=$B$15,O71,0),"미산정")</x:f>
        <x:v>0</x:v>
      </x:c>
      <x:c r="U71" s="87" t="n">
        <x:f>IF(ISNUMBER(O71),MIN(T71,ROUND(O71*S71,0)),"미산정")</x:f>
        <x:v>0</x:v>
      </x:c>
      <x:c r="V71" s="87" t="n">
        <x:f>IF(ISNUMBER(O71),T71-U71,"미산정")</x:f>
        <x:v>0</x:v>
      </x:c>
      <x:c r="W71" s="87" t="n">
        <x:f>IF(ISNUMBER(O71),O71-T71,"미산정")</x:f>
        <x:v>1176</x:v>
      </x:c>
      <x:c r="X71" s="87" t="n">
        <x:f>IF(ISNUMBER(O71),O71-U71,"미산정")</x:f>
        <x:v>1176</x:v>
      </x:c>
    </x:row>
    <x:row r="72" ht="44" customHeight="1">
      <x:c r="A72" s="25" t="n">
        <x:v>62</x:v>
      </x:c>
      <x:c r="B72" s="25" t="str">
        <x:v>112동</x:v>
      </x:c>
      <x:c r="C72" s="6" t="str">
        <x:v>보·슬래브 거푸집</x:v>
      </x:c>
      <x:c r="D72" s="6" t="str">
        <x:v>PW-1224</x:v>
      </x:c>
      <x:c r="E72" s="6" t="str">
        <x:v>코팅합판</x:v>
      </x:c>
      <x:c r="F72" s="6" t="str">
        <x:v>1,220×2,440×12mm</x:v>
      </x:c>
      <x:c r="G72" s="6" t="str">
        <x:v>장</x:v>
      </x:c>
      <x:c r="H72" s="18" t="n">
        <x:v>385</x:v>
      </x:c>
      <x:c r="I72" s="27" t="n">
        <x:v>33</x:v>
      </x:c>
      <x:c r="J72" s="27" t="n">
        <x:v>36</x:v>
      </x:c>
      <x:c r="K72" s="27" t="n">
        <x:v>32</x:v>
      </x:c>
      <x:c r="L72" s="6" t="str">
        <x:v>미등록</x:v>
      </x:c>
      <x:c r="M72" s="6" t="str">
        <x:v>미산정</x:v>
      </x:c>
      <x:c r="N72" s="28" t="str">
        <x:v>미산정</x:v>
      </x:c>
      <x:c r="O72" s="31" t="str">
        <x:f>IF(AND(N72="반영",ISNUMBER(H72)),H72,"미산정")</x:f>
        <x:v>미산정</x:v>
      </x:c>
      <x:c r="P72" s="28" t="str">
        <x:v>해당 없음</x:v>
      </x:c>
      <x:c r="Q72" s="14" t="str">
        <x:v>현재 웹 등록 품목에 없음. 다른 품목으로 대체하지 않음</x:v>
      </x:c>
      <x:c r="R72" s="81" t="n">
        <x:f>K72</x:f>
        <x:v>32</x:v>
      </x:c>
      <x:c r="S72" s="84" t="n">
        <x:f>MAX(0,MIN(1,($B$15-I72+1)/(J72-I72+1)))</x:f>
        <x:v>0</x:v>
      </x:c>
      <x:c r="T72" s="88" t="str">
        <x:f>IF(ISNUMBER(O72),IF(R72&lt;=$B$15,O72,0),"미산정")</x:f>
        <x:v>미산정</x:v>
      </x:c>
      <x:c r="U72" s="88" t="str">
        <x:f>IF(ISNUMBER(O72),MIN(T72,ROUND(O72*S72,0)),"미산정")</x:f>
        <x:v>미산정</x:v>
      </x:c>
      <x:c r="V72" s="88" t="str">
        <x:f>IF(ISNUMBER(O72),T72-U72,"미산정")</x:f>
        <x:v>미산정</x:v>
      </x:c>
      <x:c r="W72" s="88" t="str">
        <x:f>IF(ISNUMBER(O72),O72-T72,"미산정")</x:f>
        <x:v>미산정</x:v>
      </x:c>
      <x:c r="X72" s="88" t="str">
        <x:f>IF(ISNUMBER(O72),O72-U72,"미산정")</x:f>
        <x:v>미산정</x:v>
      </x:c>
    </x:row>
    <x:row r="73" ht="44" customHeight="1">
      <x:c r="A73" s="24" t="n">
        <x:v>63</x:v>
      </x:c>
      <x:c r="B73" s="24" t="str">
        <x:v>112동</x:v>
      </x:c>
      <x:c r="C73" s="13" t="str">
        <x:v>보·슬래브 거푸집</x:v>
      </x:c>
      <x:c r="D73" s="13" t="str">
        <x:v>JO-4000</x:v>
      </x:c>
      <x:c r="E73" s="13" t="str">
        <x:v>각관 장선</x:v>
      </x:c>
      <x:c r="F73" s="13" t="str">
        <x:v>50×50×2.3mm / L=4,000mm</x:v>
      </x:c>
      <x:c r="G73" s="13" t="str">
        <x:v>본</x:v>
      </x:c>
      <x:c r="H73" s="17" t="n">
        <x:v>716</x:v>
      </x:c>
      <x:c r="I73" s="26" t="n">
        <x:v>33</x:v>
      </x:c>
      <x:c r="J73" s="26" t="n">
        <x:v>36</x:v>
      </x:c>
      <x:c r="K73" s="26" t="n">
        <x:v>32</x:v>
      </x:c>
      <x:c r="L73" s="13" t="str">
        <x:v>미등록</x:v>
      </x:c>
      <x:c r="M73" s="13" t="str">
        <x:v>미산정</x:v>
      </x:c>
      <x:c r="N73" s="28" t="str">
        <x:v>미산정</x:v>
      </x:c>
      <x:c r="O73" s="31" t="str">
        <x:f>IF(AND(N73="반영",ISNUMBER(H73)),H73,"미산정")</x:f>
        <x:v>미산정</x:v>
      </x:c>
      <x:c r="P73" s="28" t="str">
        <x:v>해당 없음</x:v>
      </x:c>
      <x:c r="Q73" s="14" t="str">
        <x:v>현재 웹 등록 품목에 없음. 다른 품목으로 대체하지 않음</x:v>
      </x:c>
      <x:c r="R73" s="81" t="n">
        <x:f>K73</x:f>
        <x:v>32</x:v>
      </x:c>
      <x:c r="S73" s="83" t="n">
        <x:f>MAX(0,MIN(1,($B$15-I73+1)/(J73-I73+1)))</x:f>
        <x:v>0</x:v>
      </x:c>
      <x:c r="T73" s="87" t="str">
        <x:f>IF(ISNUMBER(O73),IF(R73&lt;=$B$15,O73,0),"미산정")</x:f>
        <x:v>미산정</x:v>
      </x:c>
      <x:c r="U73" s="87" t="str">
        <x:f>IF(ISNUMBER(O73),MIN(T73,ROUND(O73*S73,0)),"미산정")</x:f>
        <x:v>미산정</x:v>
      </x:c>
      <x:c r="V73" s="87" t="str">
        <x:f>IF(ISNUMBER(O73),T73-U73,"미산정")</x:f>
        <x:v>미산정</x:v>
      </x:c>
      <x:c r="W73" s="87" t="str">
        <x:f>IF(ISNUMBER(O73),O73-T73,"미산정")</x:f>
        <x:v>미산정</x:v>
      </x:c>
      <x:c r="X73" s="87" t="str">
        <x:f>IF(ISNUMBER(O73),O73-U73,"미산정")</x:f>
        <x:v>미산정</x:v>
      </x:c>
    </x:row>
    <x:row r="74" ht="44" customHeight="1">
      <x:c r="A74" s="25" t="n">
        <x:v>64</x:v>
      </x:c>
      <x:c r="B74" s="25" t="str">
        <x:v>112동</x:v>
      </x:c>
      <x:c r="C74" s="6" t="str">
        <x:v>보·슬래브 거푸집</x:v>
      </x:c>
      <x:c r="D74" s="6" t="str">
        <x:v>BE-3000</x:v>
      </x:c>
      <x:c r="E74" s="6" t="str">
        <x:v>시스템 멍에</x:v>
      </x:c>
      <x:c r="F74" s="6" t="str">
        <x:v>선정 제품 길이 3,000mm</x:v>
      </x:c>
      <x:c r="G74" s="6" t="str">
        <x:v>본</x:v>
      </x:c>
      <x:c r="H74" s="18" t="n">
        <x:v>247</x:v>
      </x:c>
      <x:c r="I74" s="27" t="n">
        <x:v>33</x:v>
      </x:c>
      <x:c r="J74" s="27" t="n">
        <x:v>36</x:v>
      </x:c>
      <x:c r="K74" s="27" t="n">
        <x:v>32</x:v>
      </x:c>
      <x:c r="L74" s="6" t="str">
        <x:v>미등록</x:v>
      </x:c>
      <x:c r="M74" s="6" t="str">
        <x:v>미산정</x:v>
      </x:c>
      <x:c r="N74" s="28" t="str">
        <x:v>미산정</x:v>
      </x:c>
      <x:c r="O74" s="31" t="str">
        <x:f>IF(AND(N74="반영",ISNUMBER(H74)),H74,"미산정")</x:f>
        <x:v>미산정</x:v>
      </x:c>
      <x:c r="P74" s="28" t="str">
        <x:v>해당 없음</x:v>
      </x:c>
      <x:c r="Q74" s="14" t="str">
        <x:v>현재 웹 등록 품목에 없음. 다른 품목으로 대체하지 않음</x:v>
      </x:c>
      <x:c r="R74" s="81" t="n">
        <x:f>K74</x:f>
        <x:v>32</x:v>
      </x:c>
      <x:c r="S74" s="84" t="n">
        <x:f>MAX(0,MIN(1,($B$15-I74+1)/(J74-I74+1)))</x:f>
        <x:v>0</x:v>
      </x:c>
      <x:c r="T74" s="88" t="str">
        <x:f>IF(ISNUMBER(O74),IF(R74&lt;=$B$15,O74,0),"미산정")</x:f>
        <x:v>미산정</x:v>
      </x:c>
      <x:c r="U74" s="88" t="str">
        <x:f>IF(ISNUMBER(O74),MIN(T74,ROUND(O74*S74,0)),"미산정")</x:f>
        <x:v>미산정</x:v>
      </x:c>
      <x:c r="V74" s="88" t="str">
        <x:f>IF(ISNUMBER(O74),T74-U74,"미산정")</x:f>
        <x:v>미산정</x:v>
      </x:c>
      <x:c r="W74" s="88" t="str">
        <x:f>IF(ISNUMBER(O74),O74-T74,"미산정")</x:f>
        <x:v>미산정</x:v>
      </x:c>
      <x:c r="X74" s="88" t="str">
        <x:f>IF(ISNUMBER(O74),O74-U74,"미산정")</x:f>
        <x:v>미산정</x:v>
      </x:c>
    </x:row>
    <x:row r="75" ht="44" customHeight="1">
      <x:c r="A75" s="24" t="n">
        <x:v>65</x:v>
      </x:c>
      <x:c r="B75" s="24" t="str">
        <x:v>112동</x:v>
      </x:c>
      <x:c r="C75" s="13" t="str">
        <x:v>보·슬래브 철근배근</x:v>
      </x:c>
      <x:c r="D75" s="13" t="str">
        <x:v>RB-D10</x:v>
      </x:c>
      <x:c r="E75" s="13" t="str">
        <x:v>철근</x:v>
      </x:c>
      <x:c r="F75" s="13" t="str">
        <x:v>SD500 D10 / 부위별 공장 가공</x:v>
      </x:c>
      <x:c r="G75" s="13" t="str">
        <x:v>kg</x:v>
      </x:c>
      <x:c r="H75" s="17" t="n">
        <x:v>3010</x:v>
      </x:c>
      <x:c r="I75" s="26" t="n">
        <x:v>37</x:v>
      </x:c>
      <x:c r="J75" s="26" t="n">
        <x:v>39</x:v>
      </x:c>
      <x:c r="K75" s="26" t="n">
        <x:v>36</x:v>
      </x:c>
      <x:c r="L75" s="13" t="str">
        <x:v>철근</x:v>
      </x:c>
      <x:c r="M75" s="13" t="str">
        <x:v>D10</x:v>
      </x:c>
      <x:c r="N75" s="24" t="str">
        <x:v>반영</x:v>
      </x:c>
      <x:c r="O75" s="29" t="n">
        <x:f>IF(AND(N75="반영",ISNUMBER(H75)),H75,"미산정")</x:f>
        <x:v>3010</x:v>
      </x:c>
      <x:c r="P75" s="24" t="str">
        <x:v>미제공</x:v>
      </x:c>
      <x:c r="Q75" s="13" t="str">
        <x:v>등록 품목·규격과 일치</x:v>
      </x:c>
      <x:c r="R75" s="81" t="n">
        <x:f>K75</x:f>
        <x:v>36</x:v>
      </x:c>
      <x:c r="S75" s="83" t="n">
        <x:f>MAX(0,MIN(1,($B$15-I75+1)/(J75-I75+1)))</x:f>
        <x:v>0</x:v>
      </x:c>
      <x:c r="T75" s="87" t="n">
        <x:f>IF(ISNUMBER(O75),IF(R75&lt;=$B$15,O75,0),"미산정")</x:f>
        <x:v>0</x:v>
      </x:c>
      <x:c r="U75" s="87" t="n">
        <x:f>IF(ISNUMBER(O75),MIN(T75,ROUND(O75*S75,0)),"미산정")</x:f>
        <x:v>0</x:v>
      </x:c>
      <x:c r="V75" s="87" t="n">
        <x:f>IF(ISNUMBER(O75),T75-U75,"미산정")</x:f>
        <x:v>0</x:v>
      </x:c>
      <x:c r="W75" s="87" t="n">
        <x:f>IF(ISNUMBER(O75),O75-T75,"미산정")</x:f>
        <x:v>3010</x:v>
      </x:c>
      <x:c r="X75" s="87" t="n">
        <x:f>IF(ISNUMBER(O75),O75-U75,"미산정")</x:f>
        <x:v>3010</x:v>
      </x:c>
    </x:row>
    <x:row r="76" ht="44" customHeight="1">
      <x:c r="A76" s="25" t="n">
        <x:v>66</x:v>
      </x:c>
      <x:c r="B76" s="25" t="str">
        <x:v>112동</x:v>
      </x:c>
      <x:c r="C76" s="6" t="str">
        <x:v>보·슬래브 철근배근</x:v>
      </x:c>
      <x:c r="D76" s="6" t="str">
        <x:v>RB-D13</x:v>
      </x:c>
      <x:c r="E76" s="6" t="str">
        <x:v>철근</x:v>
      </x:c>
      <x:c r="F76" s="6" t="str">
        <x:v>SD500 D13 / 부위별 공장 가공</x:v>
      </x:c>
      <x:c r="G76" s="6" t="str">
        <x:v>kg</x:v>
      </x:c>
      <x:c r="H76" s="18" t="n">
        <x:v>7510</x:v>
      </x:c>
      <x:c r="I76" s="27" t="n">
        <x:v>37</x:v>
      </x:c>
      <x:c r="J76" s="27" t="n">
        <x:v>39</x:v>
      </x:c>
      <x:c r="K76" s="27" t="n">
        <x:v>36</x:v>
      </x:c>
      <x:c r="L76" s="6" t="str">
        <x:v>철근</x:v>
      </x:c>
      <x:c r="M76" s="6" t="str">
        <x:v>D13</x:v>
      </x:c>
      <x:c r="N76" s="25" t="str">
        <x:v>반영</x:v>
      </x:c>
      <x:c r="O76" s="30" t="n">
        <x:f>IF(AND(N76="반영",ISNUMBER(H76)),H76,"미산정")</x:f>
        <x:v>7510</x:v>
      </x:c>
      <x:c r="P76" s="25" t="str">
        <x:v>미제공</x:v>
      </x:c>
      <x:c r="Q76" s="6" t="str">
        <x:v>등록 품목·규격과 일치</x:v>
      </x:c>
      <x:c r="R76" s="81" t="n">
        <x:f>K76</x:f>
        <x:v>36</x:v>
      </x:c>
      <x:c r="S76" s="84" t="n">
        <x:f>MAX(0,MIN(1,($B$15-I76+1)/(J76-I76+1)))</x:f>
        <x:v>0</x:v>
      </x:c>
      <x:c r="T76" s="88" t="n">
        <x:f>IF(ISNUMBER(O76),IF(R76&lt;=$B$15,O76,0),"미산정")</x:f>
        <x:v>0</x:v>
      </x:c>
      <x:c r="U76" s="88" t="n">
        <x:f>IF(ISNUMBER(O76),MIN(T76,ROUND(O76*S76,0)),"미산정")</x:f>
        <x:v>0</x:v>
      </x:c>
      <x:c r="V76" s="88" t="n">
        <x:f>IF(ISNUMBER(O76),T76-U76,"미산정")</x:f>
        <x:v>0</x:v>
      </x:c>
      <x:c r="W76" s="88" t="n">
        <x:f>IF(ISNUMBER(O76),O76-T76,"미산정")</x:f>
        <x:v>7510</x:v>
      </x:c>
      <x:c r="X76" s="88" t="n">
        <x:f>IF(ISNUMBER(O76),O76-U76,"미산정")</x:f>
        <x:v>7510</x:v>
      </x:c>
    </x:row>
    <x:row r="77" ht="44" customHeight="1">
      <x:c r="A77" s="24" t="n">
        <x:v>67</x:v>
      </x:c>
      <x:c r="B77" s="24" t="str">
        <x:v>112동</x:v>
      </x:c>
      <x:c r="C77" s="13" t="str">
        <x:v>보·슬래브 철근배근</x:v>
      </x:c>
      <x:c r="D77" s="13" t="str">
        <x:v>RB-D16</x:v>
      </x:c>
      <x:c r="E77" s="13" t="str">
        <x:v>철근</x:v>
      </x:c>
      <x:c r="F77" s="13" t="str">
        <x:v>SD500 D16 / 부위별 공장 가공</x:v>
      </x:c>
      <x:c r="G77" s="13" t="str">
        <x:v>kg</x:v>
      </x:c>
      <x:c r="H77" s="17" t="n">
        <x:v>6010</x:v>
      </x:c>
      <x:c r="I77" s="26" t="n">
        <x:v>37</x:v>
      </x:c>
      <x:c r="J77" s="26" t="n">
        <x:v>39</x:v>
      </x:c>
      <x:c r="K77" s="26" t="n">
        <x:v>36</x:v>
      </x:c>
      <x:c r="L77" s="13" t="str">
        <x:v>철근</x:v>
      </x:c>
      <x:c r="M77" s="13" t="str">
        <x:v>D16</x:v>
      </x:c>
      <x:c r="N77" s="24" t="str">
        <x:v>반영</x:v>
      </x:c>
      <x:c r="O77" s="29" t="n">
        <x:f>IF(AND(N77="반영",ISNUMBER(H77)),H77,"미산정")</x:f>
        <x:v>6010</x:v>
      </x:c>
      <x:c r="P77" s="24" t="str">
        <x:v>미제공</x:v>
      </x:c>
      <x:c r="Q77" s="13" t="str">
        <x:v>등록 품목·규격과 일치</x:v>
      </x:c>
      <x:c r="R77" s="81" t="n">
        <x:f>K77</x:f>
        <x:v>36</x:v>
      </x:c>
      <x:c r="S77" s="83" t="n">
        <x:f>MAX(0,MIN(1,($B$15-I77+1)/(J77-I77+1)))</x:f>
        <x:v>0</x:v>
      </x:c>
      <x:c r="T77" s="87" t="n">
        <x:f>IF(ISNUMBER(O77),IF(R77&lt;=$B$15,O77,0),"미산정")</x:f>
        <x:v>0</x:v>
      </x:c>
      <x:c r="U77" s="87" t="n">
        <x:f>IF(ISNUMBER(O77),MIN(T77,ROUND(O77*S77,0)),"미산정")</x:f>
        <x:v>0</x:v>
      </x:c>
      <x:c r="V77" s="87" t="n">
        <x:f>IF(ISNUMBER(O77),T77-U77,"미산정")</x:f>
        <x:v>0</x:v>
      </x:c>
      <x:c r="W77" s="87" t="n">
        <x:f>IF(ISNUMBER(O77),O77-T77,"미산정")</x:f>
        <x:v>6010</x:v>
      </x:c>
      <x:c r="X77" s="87" t="n">
        <x:f>IF(ISNUMBER(O77),O77-U77,"미산정")</x:f>
        <x:v>6010</x:v>
      </x:c>
    </x:row>
    <x:row r="78" ht="44" customHeight="1">
      <x:c r="A78" s="25" t="n">
        <x:v>68</x:v>
      </x:c>
      <x:c r="B78" s="25" t="str">
        <x:v>112동</x:v>
      </x:c>
      <x:c r="C78" s="6" t="str">
        <x:v>보·슬래브 철근배근</x:v>
      </x:c>
      <x:c r="D78" s="6" t="str">
        <x:v>RB-D19</x:v>
      </x:c>
      <x:c r="E78" s="6" t="str">
        <x:v>철근</x:v>
      </x:c>
      <x:c r="F78" s="6" t="str">
        <x:v>SD500 D19 / 부위별 공장 가공</x:v>
      </x:c>
      <x:c r="G78" s="6" t="str">
        <x:v>kg</x:v>
      </x:c>
      <x:c r="H78" s="18" t="n">
        <x:v>6010</x:v>
      </x:c>
      <x:c r="I78" s="27" t="n">
        <x:v>37</x:v>
      </x:c>
      <x:c r="J78" s="27" t="n">
        <x:v>39</x:v>
      </x:c>
      <x:c r="K78" s="27" t="n">
        <x:v>36</x:v>
      </x:c>
      <x:c r="L78" s="6" t="str">
        <x:v>철근</x:v>
      </x:c>
      <x:c r="M78" s="6" t="str">
        <x:v>D19</x:v>
      </x:c>
      <x:c r="N78" s="25" t="str">
        <x:v>반영</x:v>
      </x:c>
      <x:c r="O78" s="30" t="n">
        <x:f>IF(AND(N78="반영",ISNUMBER(H78)),H78,"미산정")</x:f>
        <x:v>6010</x:v>
      </x:c>
      <x:c r="P78" s="25" t="str">
        <x:v>미제공</x:v>
      </x:c>
      <x:c r="Q78" s="6" t="str">
        <x:v>등록 품목·규격과 일치</x:v>
      </x:c>
      <x:c r="R78" s="81" t="n">
        <x:f>K78</x:f>
        <x:v>36</x:v>
      </x:c>
      <x:c r="S78" s="84" t="n">
        <x:f>MAX(0,MIN(1,($B$15-I78+1)/(J78-I78+1)))</x:f>
        <x:v>0</x:v>
      </x:c>
      <x:c r="T78" s="88" t="n">
        <x:f>IF(ISNUMBER(O78),IF(R78&lt;=$B$15,O78,0),"미산정")</x:f>
        <x:v>0</x:v>
      </x:c>
      <x:c r="U78" s="88" t="n">
        <x:f>IF(ISNUMBER(O78),MIN(T78,ROUND(O78*S78,0)),"미산정")</x:f>
        <x:v>0</x:v>
      </x:c>
      <x:c r="V78" s="88" t="n">
        <x:f>IF(ISNUMBER(O78),T78-U78,"미산정")</x:f>
        <x:v>0</x:v>
      </x:c>
      <x:c r="W78" s="88" t="n">
        <x:f>IF(ISNUMBER(O78),O78-T78,"미산정")</x:f>
        <x:v>6010</x:v>
      </x:c>
      <x:c r="X78" s="88" t="n">
        <x:f>IF(ISNUMBER(O78),O78-U78,"미산정")</x:f>
        <x:v>6010</x:v>
      </x:c>
    </x:row>
    <x:row r="79" ht="44" customHeight="1">
      <x:c r="A79" s="24" t="n">
        <x:v>69</x:v>
      </x:c>
      <x:c r="B79" s="24" t="str">
        <x:v>112동</x:v>
      </x:c>
      <x:c r="C79" s="13" t="str">
        <x:v>보·슬래브 철근배근</x:v>
      </x:c>
      <x:c r="D79" s="13" t="str">
        <x:v>RB-D22</x:v>
      </x:c>
      <x:c r="E79" s="13" t="str">
        <x:v>철근</x:v>
      </x:c>
      <x:c r="F79" s="13" t="str">
        <x:v>SD500 D22 / 부위별 공장 가공</x:v>
      </x:c>
      <x:c r="G79" s="13" t="str">
        <x:v>kg</x:v>
      </x:c>
      <x:c r="H79" s="17" t="n">
        <x:v>4500</x:v>
      </x:c>
      <x:c r="I79" s="26" t="n">
        <x:v>37</x:v>
      </x:c>
      <x:c r="J79" s="26" t="n">
        <x:v>39</x:v>
      </x:c>
      <x:c r="K79" s="26" t="n">
        <x:v>36</x:v>
      </x:c>
      <x:c r="L79" s="13" t="str">
        <x:v>철근</x:v>
      </x:c>
      <x:c r="M79" s="13" t="str">
        <x:v>D22</x:v>
      </x:c>
      <x:c r="N79" s="24" t="str">
        <x:v>반영</x:v>
      </x:c>
      <x:c r="O79" s="29" t="n">
        <x:f>IF(AND(N79="반영",ISNUMBER(H79)),H79,"미산정")</x:f>
        <x:v>4500</x:v>
      </x:c>
      <x:c r="P79" s="24" t="str">
        <x:v>미제공</x:v>
      </x:c>
      <x:c r="Q79" s="13" t="str">
        <x:v>등록 품목·규격과 일치</x:v>
      </x:c>
      <x:c r="R79" s="81" t="n">
        <x:f>K79</x:f>
        <x:v>36</x:v>
      </x:c>
      <x:c r="S79" s="83" t="n">
        <x:f>MAX(0,MIN(1,($B$15-I79+1)/(J79-I79+1)))</x:f>
        <x:v>0</x:v>
      </x:c>
      <x:c r="T79" s="87" t="n">
        <x:f>IF(ISNUMBER(O79),IF(R79&lt;=$B$15,O79,0),"미산정")</x:f>
        <x:v>0</x:v>
      </x:c>
      <x:c r="U79" s="87" t="n">
        <x:f>IF(ISNUMBER(O79),MIN(T79,ROUND(O79*S79,0)),"미산정")</x:f>
        <x:v>0</x:v>
      </x:c>
      <x:c r="V79" s="87" t="n">
        <x:f>IF(ISNUMBER(O79),T79-U79,"미산정")</x:f>
        <x:v>0</x:v>
      </x:c>
      <x:c r="W79" s="87" t="n">
        <x:f>IF(ISNUMBER(O79),O79-T79,"미산정")</x:f>
        <x:v>4500</x:v>
      </x:c>
      <x:c r="X79" s="87" t="n">
        <x:f>IF(ISNUMBER(O79),O79-U79,"미산정")</x:f>
        <x:v>4500</x:v>
      </x:c>
    </x:row>
    <x:row r="80" ht="44" customHeight="1">
      <x:c r="A80" s="25" t="n">
        <x:v>70</x:v>
      </x:c>
      <x:c r="B80" s="25" t="str">
        <x:v>112동</x:v>
      </x:c>
      <x:c r="C80" s="6" t="str">
        <x:v>보·슬래브 철근배근</x:v>
      </x:c>
      <x:c r="D80" s="6" t="str">
        <x:v>RB-D25</x:v>
      </x:c>
      <x:c r="E80" s="6" t="str">
        <x:v>철근</x:v>
      </x:c>
      <x:c r="F80" s="6" t="str">
        <x:v>SD500 D25 / 부위별 공장 가공</x:v>
      </x:c>
      <x:c r="G80" s="6" t="str">
        <x:v>kg</x:v>
      </x:c>
      <x:c r="H80" s="18" t="n">
        <x:v>3010</x:v>
      </x:c>
      <x:c r="I80" s="27" t="n">
        <x:v>37</x:v>
      </x:c>
      <x:c r="J80" s="27" t="n">
        <x:v>39</x:v>
      </x:c>
      <x:c r="K80" s="27" t="n">
        <x:v>36</x:v>
      </x:c>
      <x:c r="L80" s="6" t="str">
        <x:v>철근</x:v>
      </x:c>
      <x:c r="M80" s="6" t="str">
        <x:v>D25</x:v>
      </x:c>
      <x:c r="N80" s="25" t="str">
        <x:v>반영</x:v>
      </x:c>
      <x:c r="O80" s="30" t="n">
        <x:f>IF(AND(N80="반영",ISNUMBER(H80)),H80,"미산정")</x:f>
        <x:v>3010</x:v>
      </x:c>
      <x:c r="P80" s="25" t="str">
        <x:v>미제공</x:v>
      </x:c>
      <x:c r="Q80" s="6" t="str">
        <x:v>등록 품목·규격과 일치</x:v>
      </x:c>
      <x:c r="R80" s="81" t="n">
        <x:f>K80</x:f>
        <x:v>36</x:v>
      </x:c>
      <x:c r="S80" s="84" t="n">
        <x:f>MAX(0,MIN(1,($B$15-I80+1)/(J80-I80+1)))</x:f>
        <x:v>0</x:v>
      </x:c>
      <x:c r="T80" s="88" t="n">
        <x:f>IF(ISNUMBER(O80),IF(R80&lt;=$B$15,O80,0),"미산정")</x:f>
        <x:v>0</x:v>
      </x:c>
      <x:c r="U80" s="88" t="n">
        <x:f>IF(ISNUMBER(O80),MIN(T80,ROUND(O80*S80,0)),"미산정")</x:f>
        <x:v>0</x:v>
      </x:c>
      <x:c r="V80" s="88" t="n">
        <x:f>IF(ISNUMBER(O80),T80-U80,"미산정")</x:f>
        <x:v>0</x:v>
      </x:c>
      <x:c r="W80" s="88" t="n">
        <x:f>IF(ISNUMBER(O80),O80-T80,"미산정")</x:f>
        <x:v>3010</x:v>
      </x:c>
      <x:c r="X80" s="88" t="n">
        <x:f>IF(ISNUMBER(O80),O80-U80,"미산정")</x:f>
        <x:v>3010</x:v>
      </x:c>
    </x:row>
    <x:row r="81" ht="44" customHeight="1">
      <x:c r="A81" s="24" t="n">
        <x:v>71</x:v>
      </x:c>
      <x:c r="B81" s="24" t="str">
        <x:v>104동</x:v>
      </x:c>
      <x:c r="C81" s="13" t="str">
        <x:v>벽체·기둥 철근배근</x:v>
      </x:c>
      <x:c r="D81" s="13" t="str">
        <x:v>RB-D10</x:v>
      </x:c>
      <x:c r="E81" s="13" t="str">
        <x:v>철근</x:v>
      </x:c>
      <x:c r="F81" s="13" t="str">
        <x:v>SD500 D10 / 부위별 공장 가공</x:v>
      </x:c>
      <x:c r="G81" s="13" t="str">
        <x:v>kg</x:v>
      </x:c>
      <x:c r="H81" s="17" t="n">
        <x:v>1630</x:v>
      </x:c>
      <x:c r="I81" s="26" t="n">
        <x:v>3</x:v>
      </x:c>
      <x:c r="J81" s="26" t="n">
        <x:v>7</x:v>
      </x:c>
      <x:c r="K81" s="26" t="n">
        <x:v>2</x:v>
      </x:c>
      <x:c r="L81" s="13" t="str">
        <x:v>철근</x:v>
      </x:c>
      <x:c r="M81" s="13" t="str">
        <x:v>D10</x:v>
      </x:c>
      <x:c r="N81" s="24" t="str">
        <x:v>반영</x:v>
      </x:c>
      <x:c r="O81" s="29" t="n">
        <x:f>IF(AND(N81="반영",ISNUMBER(H81)),H81,"미산정")</x:f>
        <x:v>1630</x:v>
      </x:c>
      <x:c r="P81" s="24" t="str">
        <x:v>미제공</x:v>
      </x:c>
      <x:c r="Q81" s="13" t="str">
        <x:v>등록 품목·규격과 일치</x:v>
      </x:c>
      <x:c r="R81" s="81" t="n">
        <x:f>K81</x:f>
        <x:v>2</x:v>
      </x:c>
      <x:c r="S81" s="83" t="n">
        <x:f>MAX(0,MIN(1,($B$15-I81+1)/(J81-I81+1)))</x:f>
        <x:v>1</x:v>
      </x:c>
      <x:c r="T81" s="87" t="n">
        <x:f>IF(ISNUMBER(O81),IF(R81&lt;=$B$15,O81,0),"미산정")</x:f>
        <x:v>1630</x:v>
      </x:c>
      <x:c r="U81" s="87" t="n">
        <x:f>IF(ISNUMBER(O81),MIN(T81,ROUND(O81*S81,0)),"미산정")</x:f>
        <x:v>1630</x:v>
      </x:c>
      <x:c r="V81" s="87" t="n">
        <x:f>IF(ISNUMBER(O81),T81-U81,"미산정")</x:f>
        <x:v>0</x:v>
      </x:c>
      <x:c r="W81" s="87" t="n">
        <x:f>IF(ISNUMBER(O81),O81-T81,"미산정")</x:f>
        <x:v>0</x:v>
      </x:c>
      <x:c r="X81" s="87" t="n">
        <x:f>IF(ISNUMBER(O81),O81-U81,"미산정")</x:f>
        <x:v>0</x:v>
      </x:c>
    </x:row>
    <x:row r="82" ht="44" customHeight="1">
      <x:c r="A82" s="25" t="n">
        <x:v>72</x:v>
      </x:c>
      <x:c r="B82" s="25" t="str">
        <x:v>104동</x:v>
      </x:c>
      <x:c r="C82" s="6" t="str">
        <x:v>벽체·기둥 철근배근</x:v>
      </x:c>
      <x:c r="D82" s="6" t="str">
        <x:v>RB-D13</x:v>
      </x:c>
      <x:c r="E82" s="6" t="str">
        <x:v>철근</x:v>
      </x:c>
      <x:c r="F82" s="6" t="str">
        <x:v>SD500 D13 / 부위별 공장 가공</x:v>
      </x:c>
      <x:c r="G82" s="6" t="str">
        <x:v>kg</x:v>
      </x:c>
      <x:c r="H82" s="18" t="n">
        <x:v>2440</x:v>
      </x:c>
      <x:c r="I82" s="27" t="n">
        <x:v>3</x:v>
      </x:c>
      <x:c r="J82" s="27" t="n">
        <x:v>7</x:v>
      </x:c>
      <x:c r="K82" s="27" t="n">
        <x:v>2</x:v>
      </x:c>
      <x:c r="L82" s="6" t="str">
        <x:v>철근</x:v>
      </x:c>
      <x:c r="M82" s="6" t="str">
        <x:v>D13</x:v>
      </x:c>
      <x:c r="N82" s="25" t="str">
        <x:v>반영</x:v>
      </x:c>
      <x:c r="O82" s="30" t="n">
        <x:f>IF(AND(N82="반영",ISNUMBER(H82)),H82,"미산정")</x:f>
        <x:v>2440</x:v>
      </x:c>
      <x:c r="P82" s="25" t="str">
        <x:v>미제공</x:v>
      </x:c>
      <x:c r="Q82" s="6" t="str">
        <x:v>등록 품목·규격과 일치</x:v>
      </x:c>
      <x:c r="R82" s="81" t="n">
        <x:f>K82</x:f>
        <x:v>2</x:v>
      </x:c>
      <x:c r="S82" s="84" t="n">
        <x:f>MAX(0,MIN(1,($B$15-I82+1)/(J82-I82+1)))</x:f>
        <x:v>1</x:v>
      </x:c>
      <x:c r="T82" s="88" t="n">
        <x:f>IF(ISNUMBER(O82),IF(R82&lt;=$B$15,O82,0),"미산정")</x:f>
        <x:v>2440</x:v>
      </x:c>
      <x:c r="U82" s="88" t="n">
        <x:f>IF(ISNUMBER(O82),MIN(T82,ROUND(O82*S82,0)),"미산정")</x:f>
        <x:v>2440</x:v>
      </x:c>
      <x:c r="V82" s="88" t="n">
        <x:f>IF(ISNUMBER(O82),T82-U82,"미산정")</x:f>
        <x:v>0</x:v>
      </x:c>
      <x:c r="W82" s="88" t="n">
        <x:f>IF(ISNUMBER(O82),O82-T82,"미산정")</x:f>
        <x:v>0</x:v>
      </x:c>
      <x:c r="X82" s="88" t="n">
        <x:f>IF(ISNUMBER(O82),O82-U82,"미산정")</x:f>
        <x:v>0</x:v>
      </x:c>
    </x:row>
    <x:row r="83" ht="44" customHeight="1">
      <x:c r="A83" s="24" t="n">
        <x:v>73</x:v>
      </x:c>
      <x:c r="B83" s="24" t="str">
        <x:v>104동</x:v>
      </x:c>
      <x:c r="C83" s="13" t="str">
        <x:v>벽체·기둥 철근배근</x:v>
      </x:c>
      <x:c r="D83" s="13" t="str">
        <x:v>RB-D16</x:v>
      </x:c>
      <x:c r="E83" s="13" t="str">
        <x:v>철근</x:v>
      </x:c>
      <x:c r="F83" s="13" t="str">
        <x:v>SD500 D16 / 부위별 공장 가공</x:v>
      </x:c>
      <x:c r="G83" s="13" t="str">
        <x:v>kg</x:v>
      </x:c>
      <x:c r="H83" s="17" t="n">
        <x:v>3040</x:v>
      </x:c>
      <x:c r="I83" s="26" t="n">
        <x:v>3</x:v>
      </x:c>
      <x:c r="J83" s="26" t="n">
        <x:v>7</x:v>
      </x:c>
      <x:c r="K83" s="26" t="n">
        <x:v>2</x:v>
      </x:c>
      <x:c r="L83" s="13" t="str">
        <x:v>철근</x:v>
      </x:c>
      <x:c r="M83" s="13" t="str">
        <x:v>D16</x:v>
      </x:c>
      <x:c r="N83" s="24" t="str">
        <x:v>반영</x:v>
      </x:c>
      <x:c r="O83" s="29" t="n">
        <x:f>IF(AND(N83="반영",ISNUMBER(H83)),H83,"미산정")</x:f>
        <x:v>3040</x:v>
      </x:c>
      <x:c r="P83" s="24" t="str">
        <x:v>미제공</x:v>
      </x:c>
      <x:c r="Q83" s="13" t="str">
        <x:v>등록 품목·규격과 일치</x:v>
      </x:c>
      <x:c r="R83" s="81" t="n">
        <x:f>K83</x:f>
        <x:v>2</x:v>
      </x:c>
      <x:c r="S83" s="83" t="n">
        <x:f>MAX(0,MIN(1,($B$15-I83+1)/(J83-I83+1)))</x:f>
        <x:v>1</x:v>
      </x:c>
      <x:c r="T83" s="87" t="n">
        <x:f>IF(ISNUMBER(O83),IF(R83&lt;=$B$15,O83,0),"미산정")</x:f>
        <x:v>3040</x:v>
      </x:c>
      <x:c r="U83" s="87" t="n">
        <x:f>IF(ISNUMBER(O83),MIN(T83,ROUND(O83*S83,0)),"미산정")</x:f>
        <x:v>3040</x:v>
      </x:c>
      <x:c r="V83" s="87" t="n">
        <x:f>IF(ISNUMBER(O83),T83-U83,"미산정")</x:f>
        <x:v>0</x:v>
      </x:c>
      <x:c r="W83" s="87" t="n">
        <x:f>IF(ISNUMBER(O83),O83-T83,"미산정")</x:f>
        <x:v>0</x:v>
      </x:c>
      <x:c r="X83" s="87" t="n">
        <x:f>IF(ISNUMBER(O83),O83-U83,"미산정")</x:f>
        <x:v>0</x:v>
      </x:c>
    </x:row>
    <x:row r="84" ht="44" customHeight="1">
      <x:c r="A84" s="25" t="n">
        <x:v>74</x:v>
      </x:c>
      <x:c r="B84" s="25" t="str">
        <x:v>104동</x:v>
      </x:c>
      <x:c r="C84" s="6" t="str">
        <x:v>벽체·기둥 철근배근</x:v>
      </x:c>
      <x:c r="D84" s="6" t="str">
        <x:v>RB-D19</x:v>
      </x:c>
      <x:c r="E84" s="6" t="str">
        <x:v>철근</x:v>
      </x:c>
      <x:c r="F84" s="6" t="str">
        <x:v>SD500 D19 / 부위별 공장 가공</x:v>
      </x:c>
      <x:c r="G84" s="6" t="str">
        <x:v>kg</x:v>
      </x:c>
      <x:c r="H84" s="18" t="n">
        <x:v>3040</x:v>
      </x:c>
      <x:c r="I84" s="27" t="n">
        <x:v>3</x:v>
      </x:c>
      <x:c r="J84" s="27" t="n">
        <x:v>7</x:v>
      </x:c>
      <x:c r="K84" s="27" t="n">
        <x:v>2</x:v>
      </x:c>
      <x:c r="L84" s="6" t="str">
        <x:v>철근</x:v>
      </x:c>
      <x:c r="M84" s="6" t="str">
        <x:v>D19</x:v>
      </x:c>
      <x:c r="N84" s="25" t="str">
        <x:v>반영</x:v>
      </x:c>
      <x:c r="O84" s="30" t="n">
        <x:f>IF(AND(N84="반영",ISNUMBER(H84)),H84,"미산정")</x:f>
        <x:v>3040</x:v>
      </x:c>
      <x:c r="P84" s="25" t="str">
        <x:v>미제공</x:v>
      </x:c>
      <x:c r="Q84" s="6" t="str">
        <x:v>등록 품목·규격과 일치</x:v>
      </x:c>
      <x:c r="R84" s="81" t="n">
        <x:f>K84</x:f>
        <x:v>2</x:v>
      </x:c>
      <x:c r="S84" s="84" t="n">
        <x:f>MAX(0,MIN(1,($B$15-I84+1)/(J84-I84+1)))</x:f>
        <x:v>1</x:v>
      </x:c>
      <x:c r="T84" s="88" t="n">
        <x:f>IF(ISNUMBER(O84),IF(R84&lt;=$B$15,O84,0),"미산정")</x:f>
        <x:v>3040</x:v>
      </x:c>
      <x:c r="U84" s="88" t="n">
        <x:f>IF(ISNUMBER(O84),MIN(T84,ROUND(O84*S84,0)),"미산정")</x:f>
        <x:v>3040</x:v>
      </x:c>
      <x:c r="V84" s="88" t="n">
        <x:f>IF(ISNUMBER(O84),T84-U84,"미산정")</x:f>
        <x:v>0</x:v>
      </x:c>
      <x:c r="W84" s="88" t="n">
        <x:f>IF(ISNUMBER(O84),O84-T84,"미산정")</x:f>
        <x:v>0</x:v>
      </x:c>
      <x:c r="X84" s="88" t="n">
        <x:f>IF(ISNUMBER(O84),O84-U84,"미산정")</x:f>
        <x:v>0</x:v>
      </x:c>
    </x:row>
    <x:row r="85" ht="44" customHeight="1">
      <x:c r="A85" s="24" t="n">
        <x:v>75</x:v>
      </x:c>
      <x:c r="B85" s="24" t="str">
        <x:v>104동</x:v>
      </x:c>
      <x:c r="C85" s="13" t="str">
        <x:v>벽체·기둥 철근배근</x:v>
      </x:c>
      <x:c r="D85" s="13" t="str">
        <x:v>RB-D22</x:v>
      </x:c>
      <x:c r="E85" s="13" t="str">
        <x:v>철근</x:v>
      </x:c>
      <x:c r="F85" s="13" t="str">
        <x:v>SD500 D22 / 부위별 공장 가공</x:v>
      </x:c>
      <x:c r="G85" s="13" t="str">
        <x:v>kg</x:v>
      </x:c>
      <x:c r="H85" s="17" t="n">
        <x:v>4060</x:v>
      </x:c>
      <x:c r="I85" s="26" t="n">
        <x:v>3</x:v>
      </x:c>
      <x:c r="J85" s="26" t="n">
        <x:v>7</x:v>
      </x:c>
      <x:c r="K85" s="26" t="n">
        <x:v>2</x:v>
      </x:c>
      <x:c r="L85" s="13" t="str">
        <x:v>철근</x:v>
      </x:c>
      <x:c r="M85" s="13" t="str">
        <x:v>D22</x:v>
      </x:c>
      <x:c r="N85" s="24" t="str">
        <x:v>반영</x:v>
      </x:c>
      <x:c r="O85" s="29" t="n">
        <x:f>IF(AND(N85="반영",ISNUMBER(H85)),H85,"미산정")</x:f>
        <x:v>4060</x:v>
      </x:c>
      <x:c r="P85" s="24" t="str">
        <x:v>미제공</x:v>
      </x:c>
      <x:c r="Q85" s="13" t="str">
        <x:v>등록 품목·규격과 일치</x:v>
      </x:c>
      <x:c r="R85" s="81" t="n">
        <x:f>K85</x:f>
        <x:v>2</x:v>
      </x:c>
      <x:c r="S85" s="83" t="n">
        <x:f>MAX(0,MIN(1,($B$15-I85+1)/(J85-I85+1)))</x:f>
        <x:v>1</x:v>
      </x:c>
      <x:c r="T85" s="87" t="n">
        <x:f>IF(ISNUMBER(O85),IF(R85&lt;=$B$15,O85,0),"미산정")</x:f>
        <x:v>4060</x:v>
      </x:c>
      <x:c r="U85" s="87" t="n">
        <x:f>IF(ISNUMBER(O85),MIN(T85,ROUND(O85*S85,0)),"미산정")</x:f>
        <x:v>4060</x:v>
      </x:c>
      <x:c r="V85" s="87" t="n">
        <x:f>IF(ISNUMBER(O85),T85-U85,"미산정")</x:f>
        <x:v>0</x:v>
      </x:c>
      <x:c r="W85" s="87" t="n">
        <x:f>IF(ISNUMBER(O85),O85-T85,"미산정")</x:f>
        <x:v>0</x:v>
      </x:c>
      <x:c r="X85" s="87" t="n">
        <x:f>IF(ISNUMBER(O85),O85-U85,"미산정")</x:f>
        <x:v>0</x:v>
      </x:c>
    </x:row>
    <x:row r="86" ht="44" customHeight="1">
      <x:c r="A86" s="25" t="n">
        <x:v>76</x:v>
      </x:c>
      <x:c r="B86" s="25" t="str">
        <x:v>104동</x:v>
      </x:c>
      <x:c r="C86" s="6" t="str">
        <x:v>벽체·기둥 철근배근</x:v>
      </x:c>
      <x:c r="D86" s="6" t="str">
        <x:v>RB-D25</x:v>
      </x:c>
      <x:c r="E86" s="6" t="str">
        <x:v>철근</x:v>
      </x:c>
      <x:c r="F86" s="6" t="str">
        <x:v>SD500 D25 / 부위별 공장 가공</x:v>
      </x:c>
      <x:c r="G86" s="6" t="str">
        <x:v>kg</x:v>
      </x:c>
      <x:c r="H86" s="18" t="n">
        <x:v>6080</x:v>
      </x:c>
      <x:c r="I86" s="27" t="n">
        <x:v>3</x:v>
      </x:c>
      <x:c r="J86" s="27" t="n">
        <x:v>7</x:v>
      </x:c>
      <x:c r="K86" s="27" t="n">
        <x:v>2</x:v>
      </x:c>
      <x:c r="L86" s="6" t="str">
        <x:v>철근</x:v>
      </x:c>
      <x:c r="M86" s="6" t="str">
        <x:v>D25</x:v>
      </x:c>
      <x:c r="N86" s="25" t="str">
        <x:v>반영</x:v>
      </x:c>
      <x:c r="O86" s="30" t="n">
        <x:f>IF(AND(N86="반영",ISNUMBER(H86)),H86,"미산정")</x:f>
        <x:v>6080</x:v>
      </x:c>
      <x:c r="P86" s="25" t="str">
        <x:v>미제공</x:v>
      </x:c>
      <x:c r="Q86" s="6" t="str">
        <x:v>등록 품목·규격과 일치</x:v>
      </x:c>
      <x:c r="R86" s="81" t="n">
        <x:f>K86</x:f>
        <x:v>2</x:v>
      </x:c>
      <x:c r="S86" s="84" t="n">
        <x:f>MAX(0,MIN(1,($B$15-I86+1)/(J86-I86+1)))</x:f>
        <x:v>1</x:v>
      </x:c>
      <x:c r="T86" s="88" t="n">
        <x:f>IF(ISNUMBER(O86),IF(R86&lt;=$B$15,O86,0),"미산정")</x:f>
        <x:v>6080</x:v>
      </x:c>
      <x:c r="U86" s="88" t="n">
        <x:f>IF(ISNUMBER(O86),MIN(T86,ROUND(O86*S86,0)),"미산정")</x:f>
        <x:v>6080</x:v>
      </x:c>
      <x:c r="V86" s="88" t="n">
        <x:f>IF(ISNUMBER(O86),T86-U86,"미산정")</x:f>
        <x:v>0</x:v>
      </x:c>
      <x:c r="W86" s="88" t="n">
        <x:f>IF(ISNUMBER(O86),O86-T86,"미산정")</x:f>
        <x:v>0</x:v>
      </x:c>
      <x:c r="X86" s="88" t="n">
        <x:f>IF(ISNUMBER(O86),O86-U86,"미산정")</x:f>
        <x:v>0</x:v>
      </x:c>
    </x:row>
    <x:row r="87" ht="44" customHeight="1">
      <x:c r="A87" s="24" t="n">
        <x:v>77</x:v>
      </x:c>
      <x:c r="B87" s="24" t="str">
        <x:v>104동</x:v>
      </x:c>
      <x:c r="C87" s="13" t="str">
        <x:v>수직부 거푸집 설치</x:v>
      </x:c>
      <x:c r="D87" s="13" t="str">
        <x:v>EF-5012</x:v>
      </x:c>
      <x:c r="E87" s="13" t="str">
        <x:v>유로폼</x:v>
      </x:c>
      <x:c r="F87" s="13" t="str">
        <x:v>500×1,200mm</x:v>
      </x:c>
      <x:c r="G87" s="13" t="str">
        <x:v>장</x:v>
      </x:c>
      <x:c r="H87" s="17" t="n">
        <x:v>822</x:v>
      </x:c>
      <x:c r="I87" s="26" t="n">
        <x:v>8</x:v>
      </x:c>
      <x:c r="J87" s="26" t="n">
        <x:v>14</x:v>
      </x:c>
      <x:c r="K87" s="26" t="n">
        <x:v>7</x:v>
      </x:c>
      <x:c r="L87" s="13" t="str">
        <x:v>유로폼</x:v>
      </x:c>
      <x:c r="M87" s="13" t="str">
        <x:v>500x1200</x:v>
      </x:c>
      <x:c r="N87" s="24" t="str">
        <x:v>반영</x:v>
      </x:c>
      <x:c r="O87" s="29" t="n">
        <x:f>IF(AND(N87="반영",ISNUMBER(H87)),H87,"미산정")</x:f>
        <x:v>822</x:v>
      </x:c>
      <x:c r="P87" s="24" t="str">
        <x:v>해당 없음</x:v>
      </x:c>
      <x:c r="Q87" s="13" t="str">
        <x:v>등록 품목·규격과 일치</x:v>
      </x:c>
      <x:c r="R87" s="81" t="n">
        <x:f>K87</x:f>
        <x:v>7</x:v>
      </x:c>
      <x:c r="S87" s="83" t="n">
        <x:f>MAX(0,MIN(1,($B$15-I87+1)/(J87-I87+1)))</x:f>
        <x:v>0.42857142857142855</x:v>
      </x:c>
      <x:c r="T87" s="87" t="n">
        <x:f>IF(ISNUMBER(O87),IF(R87&lt;=$B$15,O87,0),"미산정")</x:f>
        <x:v>822</x:v>
      </x:c>
      <x:c r="U87" s="87" t="n">
        <x:f>IF(ISNUMBER(O87),MIN(T87,ROUND(O87*S87,0)),"미산정")</x:f>
        <x:v>352</x:v>
      </x:c>
      <x:c r="V87" s="87" t="n">
        <x:f>IF(ISNUMBER(O87),T87-U87,"미산정")</x:f>
        <x:v>470</x:v>
      </x:c>
      <x:c r="W87" s="87" t="n">
        <x:f>IF(ISNUMBER(O87),O87-T87,"미산정")</x:f>
        <x:v>0</x:v>
      </x:c>
      <x:c r="X87" s="87" t="n">
        <x:f>IF(ISNUMBER(O87),O87-U87,"미산정")</x:f>
        <x:v>470</x:v>
      </x:c>
    </x:row>
    <x:row r="88" ht="44" customHeight="1">
      <x:c r="A88" s="25" t="n">
        <x:v>78</x:v>
      </x:c>
      <x:c r="B88" s="25" t="str">
        <x:v>104동</x:v>
      </x:c>
      <x:c r="C88" s="6" t="str">
        <x:v>수직부 거푸집 설치</x:v>
      </x:c>
      <x:c r="D88" s="6" t="str">
        <x:v>EF-6012</x:v>
      </x:c>
      <x:c r="E88" s="6" t="str">
        <x:v>유로폼</x:v>
      </x:c>
      <x:c r="F88" s="6" t="str">
        <x:v>600×1,200mm</x:v>
      </x:c>
      <x:c r="G88" s="6" t="str">
        <x:v>장</x:v>
      </x:c>
      <x:c r="H88" s="18" t="n">
        <x:v>286</x:v>
      </x:c>
      <x:c r="I88" s="27" t="n">
        <x:v>8</x:v>
      </x:c>
      <x:c r="J88" s="27" t="n">
        <x:v>14</x:v>
      </x:c>
      <x:c r="K88" s="27" t="n">
        <x:v>7</x:v>
      </x:c>
      <x:c r="L88" s="6" t="str">
        <x:v>유로폼</x:v>
      </x:c>
      <x:c r="M88" s="6" t="str">
        <x:v>600x1200</x:v>
      </x:c>
      <x:c r="N88" s="25" t="str">
        <x:v>반영</x:v>
      </x:c>
      <x:c r="O88" s="30" t="n">
        <x:f>IF(AND(N88="반영",ISNUMBER(H88)),H88,"미산정")</x:f>
        <x:v>286</x:v>
      </x:c>
      <x:c r="P88" s="25" t="str">
        <x:v>해당 없음</x:v>
      </x:c>
      <x:c r="Q88" s="6" t="str">
        <x:v>등록 품목·규격과 일치</x:v>
      </x:c>
      <x:c r="R88" s="81" t="n">
        <x:f>K88</x:f>
        <x:v>7</x:v>
      </x:c>
      <x:c r="S88" s="84" t="n">
        <x:f>MAX(0,MIN(1,($B$15-I88+1)/(J88-I88+1)))</x:f>
        <x:v>0.42857142857142855</x:v>
      </x:c>
      <x:c r="T88" s="88" t="n">
        <x:f>IF(ISNUMBER(O88),IF(R88&lt;=$B$15,O88,0),"미산정")</x:f>
        <x:v>286</x:v>
      </x:c>
      <x:c r="U88" s="88" t="n">
        <x:f>IF(ISNUMBER(O88),MIN(T88,ROUND(O88*S88,0)),"미산정")</x:f>
        <x:v>123</x:v>
      </x:c>
      <x:c r="V88" s="88" t="n">
        <x:f>IF(ISNUMBER(O88),T88-U88,"미산정")</x:f>
        <x:v>163</x:v>
      </x:c>
      <x:c r="W88" s="88" t="n">
        <x:f>IF(ISNUMBER(O88),O88-T88,"미산정")</x:f>
        <x:v>0</x:v>
      </x:c>
      <x:c r="X88" s="88" t="n">
        <x:f>IF(ISNUMBER(O88),O88-U88,"미산정")</x:f>
        <x:v>163</x:v>
      </x:c>
    </x:row>
    <x:row r="89" ht="44" customHeight="1">
      <x:c r="A89" s="24" t="n">
        <x:v>79</x:v>
      </x:c>
      <x:c r="B89" s="24" t="str">
        <x:v>104동</x:v>
      </x:c>
      <x:c r="C89" s="13" t="str">
        <x:v>수직부 거푸집 설치</x:v>
      </x:c>
      <x:c r="D89" s="13" t="str">
        <x:v>EF-3012</x:v>
      </x:c>
      <x:c r="E89" s="13" t="str">
        <x:v>유로폼</x:v>
      </x:c>
      <x:c r="F89" s="13" t="str">
        <x:v>300×1,200mm</x:v>
      </x:c>
      <x:c r="G89" s="13" t="str">
        <x:v>장</x:v>
      </x:c>
      <x:c r="H89" s="17" t="n">
        <x:v>229</x:v>
      </x:c>
      <x:c r="I89" s="26" t="n">
        <x:v>8</x:v>
      </x:c>
      <x:c r="J89" s="26" t="n">
        <x:v>14</x:v>
      </x:c>
      <x:c r="K89" s="26" t="n">
        <x:v>7</x:v>
      </x:c>
      <x:c r="L89" s="13" t="str">
        <x:v>유로폼</x:v>
      </x:c>
      <x:c r="M89" s="13" t="str">
        <x:v>300x1200</x:v>
      </x:c>
      <x:c r="N89" s="24" t="str">
        <x:v>반영</x:v>
      </x:c>
      <x:c r="O89" s="29" t="n">
        <x:f>IF(AND(N89="반영",ISNUMBER(H89)),H89,"미산정")</x:f>
        <x:v>229</x:v>
      </x:c>
      <x:c r="P89" s="24" t="str">
        <x:v>해당 없음</x:v>
      </x:c>
      <x:c r="Q89" s="13" t="str">
        <x:v>등록 품목·규격과 일치</x:v>
      </x:c>
      <x:c r="R89" s="81" t="n">
        <x:f>K89</x:f>
        <x:v>7</x:v>
      </x:c>
      <x:c r="S89" s="83" t="n">
        <x:f>MAX(0,MIN(1,($B$15-I89+1)/(J89-I89+1)))</x:f>
        <x:v>0.42857142857142855</x:v>
      </x:c>
      <x:c r="T89" s="87" t="n">
        <x:f>IF(ISNUMBER(O89),IF(R89&lt;=$B$15,O89,0),"미산정")</x:f>
        <x:v>229</x:v>
      </x:c>
      <x:c r="U89" s="87" t="n">
        <x:f>IF(ISNUMBER(O89),MIN(T89,ROUND(O89*S89,0)),"미산정")</x:f>
        <x:v>98</x:v>
      </x:c>
      <x:c r="V89" s="87" t="n">
        <x:f>IF(ISNUMBER(O89),T89-U89,"미산정")</x:f>
        <x:v>131</x:v>
      </x:c>
      <x:c r="W89" s="87" t="n">
        <x:f>IF(ISNUMBER(O89),O89-T89,"미산정")</x:f>
        <x:v>0</x:v>
      </x:c>
      <x:c r="X89" s="87" t="n">
        <x:f>IF(ISNUMBER(O89),O89-U89,"미산정")</x:f>
        <x:v>131</x:v>
      </x:c>
    </x:row>
    <x:row r="90" ht="44" customHeight="1">
      <x:c r="A90" s="25" t="n">
        <x:v>80</x:v>
      </x:c>
      <x:c r="B90" s="25" t="str">
        <x:v>104동</x:v>
      </x:c>
      <x:c r="C90" s="6" t="str">
        <x:v>수직부 거푸집 설치</x:v>
      </x:c>
      <x:c r="D90" s="6" t="str">
        <x:v>EF-5006</x:v>
      </x:c>
      <x:c r="E90" s="6" t="str">
        <x:v>유로폼</x:v>
      </x:c>
      <x:c r="F90" s="6" t="str">
        <x:v>500×600mm</x:v>
      </x:c>
      <x:c r="G90" s="6" t="str">
        <x:v>장</x:v>
      </x:c>
      <x:c r="H90" s="18" t="n">
        <x:v>137</x:v>
      </x:c>
      <x:c r="I90" s="27" t="n">
        <x:v>8</x:v>
      </x:c>
      <x:c r="J90" s="27" t="n">
        <x:v>14</x:v>
      </x:c>
      <x:c r="K90" s="27" t="n">
        <x:v>7</x:v>
      </x:c>
      <x:c r="L90" s="6" t="str">
        <x:v>미등록</x:v>
      </x:c>
      <x:c r="M90" s="6" t="str">
        <x:v>미산정</x:v>
      </x:c>
      <x:c r="N90" s="28" t="str">
        <x:v>미산정</x:v>
      </x:c>
      <x:c r="O90" s="31" t="str">
        <x:f>IF(AND(N90="반영",ISNUMBER(H90)),H90,"미산정")</x:f>
        <x:v>미산정</x:v>
      </x:c>
      <x:c r="P90" s="28" t="str">
        <x:v>해당 없음</x:v>
      </x:c>
      <x:c r="Q90" s="14" t="str">
        <x:v>유로폼 500×600은 현재 웹 등록 규격에 없음</x:v>
      </x:c>
      <x:c r="R90" s="81" t="n">
        <x:f>K90</x:f>
        <x:v>7</x:v>
      </x:c>
      <x:c r="S90" s="84" t="n">
        <x:f>MAX(0,MIN(1,($B$15-I90+1)/(J90-I90+1)))</x:f>
        <x:v>0.42857142857142855</x:v>
      </x:c>
      <x:c r="T90" s="88" t="str">
        <x:f>IF(ISNUMBER(O90),IF(R90&lt;=$B$15,O90,0),"미산정")</x:f>
        <x:v>미산정</x:v>
      </x:c>
      <x:c r="U90" s="88" t="str">
        <x:f>IF(ISNUMBER(O90),MIN(T90,ROUND(O90*S90,0)),"미산정")</x:f>
        <x:v>미산정</x:v>
      </x:c>
      <x:c r="V90" s="88" t="str">
        <x:f>IF(ISNUMBER(O90),T90-U90,"미산정")</x:f>
        <x:v>미산정</x:v>
      </x:c>
      <x:c r="W90" s="88" t="str">
        <x:f>IF(ISNUMBER(O90),O90-T90,"미산정")</x:f>
        <x:v>미산정</x:v>
      </x:c>
      <x:c r="X90" s="88" t="str">
        <x:f>IF(ISNUMBER(O90),O90-U90,"미산정")</x:f>
        <x:v>미산정</x:v>
      </x:c>
    </x:row>
    <x:row r="91" ht="44" customHeight="1">
      <x:c r="A91" s="24" t="n">
        <x:v>81</x:v>
      </x:c>
      <x:c r="B91" s="24" t="str">
        <x:v>104동</x:v>
      </x:c>
      <x:c r="C91" s="13" t="str">
        <x:v>수직부 거푸집 설치</x:v>
      </x:c>
      <x:c r="D91" s="13" t="str">
        <x:v>PW-1224</x:v>
      </x:c>
      <x:c r="E91" s="13" t="str">
        <x:v>코팅합판</x:v>
      </x:c>
      <x:c r="F91" s="13" t="str">
        <x:v>1,220×2,440×12mm</x:v>
      </x:c>
      <x:c r="G91" s="13" t="str">
        <x:v>장</x:v>
      </x:c>
      <x:c r="H91" s="17" t="n">
        <x:v>13</x:v>
      </x:c>
      <x:c r="I91" s="26" t="n">
        <x:v>8</x:v>
      </x:c>
      <x:c r="J91" s="26" t="n">
        <x:v>14</x:v>
      </x:c>
      <x:c r="K91" s="26" t="n">
        <x:v>7</x:v>
      </x:c>
      <x:c r="L91" s="13" t="str">
        <x:v>미등록</x:v>
      </x:c>
      <x:c r="M91" s="13" t="str">
        <x:v>미산정</x:v>
      </x:c>
      <x:c r="N91" s="28" t="str">
        <x:v>미산정</x:v>
      </x:c>
      <x:c r="O91" s="31" t="str">
        <x:f>IF(AND(N91="반영",ISNUMBER(H91)),H91,"미산정")</x:f>
        <x:v>미산정</x:v>
      </x:c>
      <x:c r="P91" s="28" t="str">
        <x:v>해당 없음</x:v>
      </x:c>
      <x:c r="Q91" s="14" t="str">
        <x:v>현재 웹 등록 품목에 없음. 다른 품목으로 대체하지 않음</x:v>
      </x:c>
      <x:c r="R91" s="81" t="n">
        <x:f>K91</x:f>
        <x:v>7</x:v>
      </x:c>
      <x:c r="S91" s="83" t="n">
        <x:f>MAX(0,MIN(1,($B$15-I91+1)/(J91-I91+1)))</x:f>
        <x:v>0.42857142857142855</x:v>
      </x:c>
      <x:c r="T91" s="87" t="str">
        <x:f>IF(ISNUMBER(O91),IF(R91&lt;=$B$15,O91,0),"미산정")</x:f>
        <x:v>미산정</x:v>
      </x:c>
      <x:c r="U91" s="87" t="str">
        <x:f>IF(ISNUMBER(O91),MIN(T91,ROUND(O91*S91,0)),"미산정")</x:f>
        <x:v>미산정</x:v>
      </x:c>
      <x:c r="V91" s="87" t="str">
        <x:f>IF(ISNUMBER(O91),T91-U91,"미산정")</x:f>
        <x:v>미산정</x:v>
      </x:c>
      <x:c r="W91" s="87" t="str">
        <x:f>IF(ISNUMBER(O91),O91-T91,"미산정")</x:f>
        <x:v>미산정</x:v>
      </x:c>
      <x:c r="X91" s="87" t="str">
        <x:f>IF(ISNUMBER(O91),O91-U91,"미산정")</x:f>
        <x:v>미산정</x:v>
      </x:c>
    </x:row>
    <x:row r="92" ht="44" customHeight="1">
      <x:c r="A92" s="25" t="n">
        <x:v>82</x:v>
      </x:c>
      <x:c r="B92" s="25" t="str">
        <x:v>104동</x:v>
      </x:c>
      <x:c r="C92" s="6" t="str">
        <x:v>수직부 거푸집 설치</x:v>
      </x:c>
      <x:c r="D92" s="6" t="str">
        <x:v>IC-1012</x:v>
      </x:c>
      <x:c r="E92" s="6" t="str">
        <x:v>인코너</x:v>
      </x:c>
      <x:c r="F92" s="6" t="str">
        <x:v>100×100×1,200mm</x:v>
      </x:c>
      <x:c r="G92" s="6" t="str">
        <x:v>개</x:v>
      </x:c>
      <x:c r="H92" s="18" t="n">
        <x:v>60</x:v>
      </x:c>
      <x:c r="I92" s="27" t="n">
        <x:v>8</x:v>
      </x:c>
      <x:c r="J92" s="27" t="n">
        <x:v>14</x:v>
      </x:c>
      <x:c r="K92" s="27" t="n">
        <x:v>7</x:v>
      </x:c>
      <x:c r="L92" s="6" t="str">
        <x:v>미등록</x:v>
      </x:c>
      <x:c r="M92" s="6" t="str">
        <x:v>미산정</x:v>
      </x:c>
      <x:c r="N92" s="28" t="str">
        <x:v>미산정</x:v>
      </x:c>
      <x:c r="O92" s="31" t="str">
        <x:f>IF(AND(N92="반영",ISNUMBER(H92)),H92,"미산정")</x:f>
        <x:v>미산정</x:v>
      </x:c>
      <x:c r="P92" s="28" t="str">
        <x:v>해당 없음</x:v>
      </x:c>
      <x:c r="Q92" s="14" t="str">
        <x:v>현재 웹 등록 품목에 없음. 다른 품목으로 대체하지 않음</x:v>
      </x:c>
      <x:c r="R92" s="81" t="n">
        <x:f>K92</x:f>
        <x:v>7</x:v>
      </x:c>
      <x:c r="S92" s="84" t="n">
        <x:f>MAX(0,MIN(1,($B$15-I92+1)/(J92-I92+1)))</x:f>
        <x:v>0.42857142857142855</x:v>
      </x:c>
      <x:c r="T92" s="88" t="str">
        <x:f>IF(ISNUMBER(O92),IF(R92&lt;=$B$15,O92,0),"미산정")</x:f>
        <x:v>미산정</x:v>
      </x:c>
      <x:c r="U92" s="88" t="str">
        <x:f>IF(ISNUMBER(O92),MIN(T92,ROUND(O92*S92,0)),"미산정")</x:f>
        <x:v>미산정</x:v>
      </x:c>
      <x:c r="V92" s="88" t="str">
        <x:f>IF(ISNUMBER(O92),T92-U92,"미산정")</x:f>
        <x:v>미산정</x:v>
      </x:c>
      <x:c r="W92" s="88" t="str">
        <x:f>IF(ISNUMBER(O92),O92-T92,"미산정")</x:f>
        <x:v>미산정</x:v>
      </x:c>
      <x:c r="X92" s="88" t="str">
        <x:f>IF(ISNUMBER(O92),O92-U92,"미산정")</x:f>
        <x:v>미산정</x:v>
      </x:c>
    </x:row>
    <x:row r="93" ht="44" customHeight="1">
      <x:c r="A93" s="24" t="n">
        <x:v>83</x:v>
      </x:c>
      <x:c r="B93" s="24" t="str">
        <x:v>104동</x:v>
      </x:c>
      <x:c r="C93" s="13" t="str">
        <x:v>수직부 거푸집 설치</x:v>
      </x:c>
      <x:c r="D93" s="13" t="str">
        <x:v>OC-12</x:v>
      </x:c>
      <x:c r="E93" s="13" t="str">
        <x:v>아웃코너</x:v>
      </x:c>
      <x:c r="F93" s="13" t="str">
        <x:v>길이 1,200mm</x:v>
      </x:c>
      <x:c r="G93" s="13" t="str">
        <x:v>개</x:v>
      </x:c>
      <x:c r="H93" s="17" t="n">
        <x:v>320</x:v>
      </x:c>
      <x:c r="I93" s="26" t="n">
        <x:v>8</x:v>
      </x:c>
      <x:c r="J93" s="26" t="n">
        <x:v>14</x:v>
      </x:c>
      <x:c r="K93" s="26" t="n">
        <x:v>7</x:v>
      </x:c>
      <x:c r="L93" s="13" t="str">
        <x:v>미등록</x:v>
      </x:c>
      <x:c r="M93" s="13" t="str">
        <x:v>미산정</x:v>
      </x:c>
      <x:c r="N93" s="28" t="str">
        <x:v>미산정</x:v>
      </x:c>
      <x:c r="O93" s="31" t="str">
        <x:f>IF(AND(N93="반영",ISNUMBER(H93)),H93,"미산정")</x:f>
        <x:v>미산정</x:v>
      </x:c>
      <x:c r="P93" s="28" t="str">
        <x:v>해당 없음</x:v>
      </x:c>
      <x:c r="Q93" s="14" t="str">
        <x:v>현재 웹 등록 품목에 없음. 다른 품목으로 대체하지 않음</x:v>
      </x:c>
      <x:c r="R93" s="81" t="n">
        <x:f>K93</x:f>
        <x:v>7</x:v>
      </x:c>
      <x:c r="S93" s="83" t="n">
        <x:f>MAX(0,MIN(1,($B$15-I93+1)/(J93-I93+1)))</x:f>
        <x:v>0.42857142857142855</x:v>
      </x:c>
      <x:c r="T93" s="87" t="str">
        <x:f>IF(ISNUMBER(O93),IF(R93&lt;=$B$15,O93,0),"미산정")</x:f>
        <x:v>미산정</x:v>
      </x:c>
      <x:c r="U93" s="87" t="str">
        <x:f>IF(ISNUMBER(O93),MIN(T93,ROUND(O93*S93,0)),"미산정")</x:f>
        <x:v>미산정</x:v>
      </x:c>
      <x:c r="V93" s="87" t="str">
        <x:f>IF(ISNUMBER(O93),T93-U93,"미산정")</x:f>
        <x:v>미산정</x:v>
      </x:c>
      <x:c r="W93" s="87" t="str">
        <x:f>IF(ISNUMBER(O93),O93-T93,"미산정")</x:f>
        <x:v>미산정</x:v>
      </x:c>
      <x:c r="X93" s="87" t="str">
        <x:f>IF(ISNUMBER(O93),O93-U93,"미산정")</x:f>
        <x:v>미산정</x:v>
      </x:c>
    </x:row>
    <x:row r="94" ht="44" customHeight="1">
      <x:c r="A94" s="25" t="n">
        <x:v>84</x:v>
      </x:c>
      <x:c r="B94" s="25" t="str">
        <x:v>104동</x:v>
      </x:c>
      <x:c r="C94" s="6" t="str">
        <x:v>시스템동바리 조립</x:v>
      </x:c>
      <x:c r="D94" s="6" t="str">
        <x:v>SV-1725</x:v>
      </x:c>
      <x:c r="E94" s="6" t="str">
        <x:v>수직재</x:v>
      </x:c>
      <x:c r="F94" s="6" t="str">
        <x:v>Ø60.5 / L=1,725mm</x:v>
      </x:c>
      <x:c r="G94" s="6" t="str">
        <x:v>본</x:v>
      </x:c>
      <x:c r="H94" s="18" t="n">
        <x:v>911</x:v>
      </x:c>
      <x:c r="I94" s="27" t="n">
        <x:v>15</x:v>
      </x:c>
      <x:c r="J94" s="27" t="n">
        <x:v>17</x:v>
      </x:c>
      <x:c r="K94" s="27" t="n">
        <x:v>14</x:v>
      </x:c>
      <x:c r="L94" s="6" t="str">
        <x:v>미등록</x:v>
      </x:c>
      <x:c r="M94" s="6" t="str">
        <x:v>미산정</x:v>
      </x:c>
      <x:c r="N94" s="28" t="str">
        <x:v>미산정</x:v>
      </x:c>
      <x:c r="O94" s="31" t="str">
        <x:f>IF(AND(N94="반영",ISNUMBER(H94)),H94,"미산정")</x:f>
        <x:v>미산정</x:v>
      </x:c>
      <x:c r="P94" s="28" t="str">
        <x:v>해당 없음</x:v>
      </x:c>
      <x:c r="Q94" s="14" t="str">
        <x:v>원자료 치수·DSD 코드와 웹 P·H·OB 규격의 동일성 미확인</x:v>
      </x:c>
      <x:c r="R94" s="81" t="n">
        <x:f>K94</x:f>
        <x:v>14</x:v>
      </x:c>
      <x:c r="S94" s="84" t="n">
        <x:f>MAX(0,MIN(1,($B$15-I94+1)/(J94-I94+1)))</x:f>
        <x:v>0</x:v>
      </x:c>
      <x:c r="T94" s="88" t="str">
        <x:f>IF(ISNUMBER(O94),IF(R94&lt;=$B$15,O94,0),"미산정")</x:f>
        <x:v>미산정</x:v>
      </x:c>
      <x:c r="U94" s="88" t="str">
        <x:f>IF(ISNUMBER(O94),MIN(T94,ROUND(O94*S94,0)),"미산정")</x:f>
        <x:v>미산정</x:v>
      </x:c>
      <x:c r="V94" s="88" t="str">
        <x:f>IF(ISNUMBER(O94),T94-U94,"미산정")</x:f>
        <x:v>미산정</x:v>
      </x:c>
      <x:c r="W94" s="88" t="str">
        <x:f>IF(ISNUMBER(O94),O94-T94,"미산정")</x:f>
        <x:v>미산정</x:v>
      </x:c>
      <x:c r="X94" s="88" t="str">
        <x:f>IF(ISNUMBER(O94),O94-U94,"미산정")</x:f>
        <x:v>미산정</x:v>
      </x:c>
    </x:row>
    <x:row r="95" ht="44" customHeight="1">
      <x:c r="A95" s="24" t="n">
        <x:v>85</x:v>
      </x:c>
      <x:c r="B95" s="24" t="str">
        <x:v>104동</x:v>
      </x:c>
      <x:c r="C95" s="13" t="str">
        <x:v>시스템동바리 조립</x:v>
      </x:c>
      <x:c r="D95" s="13" t="str">
        <x:v>SV-1291</x:v>
      </x:c>
      <x:c r="E95" s="13" t="str">
        <x:v>수직재</x:v>
      </x:c>
      <x:c r="F95" s="13" t="str">
        <x:v>Ø60.5 / L=1,291mm</x:v>
      </x:c>
      <x:c r="G95" s="13" t="str">
        <x:v>본</x:v>
      </x:c>
      <x:c r="H95" s="17" t="n">
        <x:v>181</x:v>
      </x:c>
      <x:c r="I95" s="26" t="n">
        <x:v>15</x:v>
      </x:c>
      <x:c r="J95" s="26" t="n">
        <x:v>17</x:v>
      </x:c>
      <x:c r="K95" s="26" t="n">
        <x:v>14</x:v>
      </x:c>
      <x:c r="L95" s="13" t="str">
        <x:v>미등록</x:v>
      </x:c>
      <x:c r="M95" s="13" t="str">
        <x:v>미산정</x:v>
      </x:c>
      <x:c r="N95" s="28" t="str">
        <x:v>미산정</x:v>
      </x:c>
      <x:c r="O95" s="31" t="str">
        <x:f>IF(AND(N95="반영",ISNUMBER(H95)),H95,"미산정")</x:f>
        <x:v>미산정</x:v>
      </x:c>
      <x:c r="P95" s="28" t="str">
        <x:v>해당 없음</x:v>
      </x:c>
      <x:c r="Q95" s="14" t="str">
        <x:v>원자료 치수·DSD 코드와 웹 P·H·OB 규격의 동일성 미확인</x:v>
      </x:c>
      <x:c r="R95" s="81" t="n">
        <x:f>K95</x:f>
        <x:v>14</x:v>
      </x:c>
      <x:c r="S95" s="83" t="n">
        <x:f>MAX(0,MIN(1,($B$15-I95+1)/(J95-I95+1)))</x:f>
        <x:v>0</x:v>
      </x:c>
      <x:c r="T95" s="87" t="str">
        <x:f>IF(ISNUMBER(O95),IF(R95&lt;=$B$15,O95,0),"미산정")</x:f>
        <x:v>미산정</x:v>
      </x:c>
      <x:c r="U95" s="87" t="str">
        <x:f>IF(ISNUMBER(O95),MIN(T95,ROUND(O95*S95,0)),"미산정")</x:f>
        <x:v>미산정</x:v>
      </x:c>
      <x:c r="V95" s="87" t="str">
        <x:f>IF(ISNUMBER(O95),T95-U95,"미산정")</x:f>
        <x:v>미산정</x:v>
      </x:c>
      <x:c r="W95" s="87" t="str">
        <x:f>IF(ISNUMBER(O95),O95-T95,"미산정")</x:f>
        <x:v>미산정</x:v>
      </x:c>
      <x:c r="X95" s="87" t="str">
        <x:f>IF(ISNUMBER(O95),O95-U95,"미산정")</x:f>
        <x:v>미산정</x:v>
      </x:c>
    </x:row>
    <x:row r="96" ht="44" customHeight="1">
      <x:c r="A96" s="25" t="n">
        <x:v>86</x:v>
      </x:c>
      <x:c r="B96" s="25" t="str">
        <x:v>104동</x:v>
      </x:c>
      <x:c r="C96" s="6" t="str">
        <x:v>시스템동바리 조립</x:v>
      </x:c>
      <x:c r="D96" s="6" t="str">
        <x:v>SV-0863</x:v>
      </x:c>
      <x:c r="E96" s="6" t="str">
        <x:v>수직재</x:v>
      </x:c>
      <x:c r="F96" s="6" t="str">
        <x:v>Ø60.5 / L=863mm</x:v>
      </x:c>
      <x:c r="G96" s="6" t="str">
        <x:v>본</x:v>
      </x:c>
      <x:c r="H96" s="18" t="n">
        <x:v>546</x:v>
      </x:c>
      <x:c r="I96" s="27" t="n">
        <x:v>15</x:v>
      </x:c>
      <x:c r="J96" s="27" t="n">
        <x:v>17</x:v>
      </x:c>
      <x:c r="K96" s="27" t="n">
        <x:v>14</x:v>
      </x:c>
      <x:c r="L96" s="6" t="str">
        <x:v>미등록</x:v>
      </x:c>
      <x:c r="M96" s="6" t="str">
        <x:v>미산정</x:v>
      </x:c>
      <x:c r="N96" s="28" t="str">
        <x:v>미산정</x:v>
      </x:c>
      <x:c r="O96" s="31" t="str">
        <x:f>IF(AND(N96="반영",ISNUMBER(H96)),H96,"미산정")</x:f>
        <x:v>미산정</x:v>
      </x:c>
      <x:c r="P96" s="28" t="str">
        <x:v>해당 없음</x:v>
      </x:c>
      <x:c r="Q96" s="14" t="str">
        <x:v>원자료 치수·DSD 코드와 웹 P·H·OB 규격의 동일성 미확인</x:v>
      </x:c>
      <x:c r="R96" s="81" t="n">
        <x:f>K96</x:f>
        <x:v>14</x:v>
      </x:c>
      <x:c r="S96" s="84" t="n">
        <x:f>MAX(0,MIN(1,($B$15-I96+1)/(J96-I96+1)))</x:f>
        <x:v>0</x:v>
      </x:c>
      <x:c r="T96" s="88" t="str">
        <x:f>IF(ISNUMBER(O96),IF(R96&lt;=$B$15,O96,0),"미산정")</x:f>
        <x:v>미산정</x:v>
      </x:c>
      <x:c r="U96" s="88" t="str">
        <x:f>IF(ISNUMBER(O96),MIN(T96,ROUND(O96*S96,0)),"미산정")</x:f>
        <x:v>미산정</x:v>
      </x:c>
      <x:c r="V96" s="88" t="str">
        <x:f>IF(ISNUMBER(O96),T96-U96,"미산정")</x:f>
        <x:v>미산정</x:v>
      </x:c>
      <x:c r="W96" s="88" t="str">
        <x:f>IF(ISNUMBER(O96),O96-T96,"미산정")</x:f>
        <x:v>미산정</x:v>
      </x:c>
      <x:c r="X96" s="88" t="str">
        <x:f>IF(ISNUMBER(O96),O96-U96,"미산정")</x:f>
        <x:v>미산정</x:v>
      </x:c>
    </x:row>
    <x:row r="97" ht="44" customHeight="1">
      <x:c r="A97" s="24" t="n">
        <x:v>87</x:v>
      </x:c>
      <x:c r="B97" s="24" t="str">
        <x:v>104동</x:v>
      </x:c>
      <x:c r="C97" s="13" t="str">
        <x:v>시스템동바리 조립</x:v>
      </x:c>
      <x:c r="D97" s="13" t="str">
        <x:v>SH-1219</x:v>
      </x:c>
      <x:c r="E97" s="13" t="str">
        <x:v>수평재</x:v>
      </x:c>
      <x:c r="F97" s="13" t="str">
        <x:v>Ø42.7 / 호칭 L=1,219mm</x:v>
      </x:c>
      <x:c r="G97" s="13" t="str">
        <x:v>본</x:v>
      </x:c>
      <x:c r="H97" s="17" t="n">
        <x:v>4180</x:v>
      </x:c>
      <x:c r="I97" s="26" t="n">
        <x:v>15</x:v>
      </x:c>
      <x:c r="J97" s="26" t="n">
        <x:v>17</x:v>
      </x:c>
      <x:c r="K97" s="26" t="n">
        <x:v>14</x:v>
      </x:c>
      <x:c r="L97" s="13" t="str">
        <x:v>미등록</x:v>
      </x:c>
      <x:c r="M97" s="13" t="str">
        <x:v>미산정</x:v>
      </x:c>
      <x:c r="N97" s="28" t="str">
        <x:v>미산정</x:v>
      </x:c>
      <x:c r="O97" s="31" t="str">
        <x:f>IF(AND(N97="반영",ISNUMBER(H97)),H97,"미산정")</x:f>
        <x:v>미산정</x:v>
      </x:c>
      <x:c r="P97" s="28" t="str">
        <x:v>해당 없음</x:v>
      </x:c>
      <x:c r="Q97" s="14" t="str">
        <x:v>원자료 치수·DSD 코드와 웹 P·H·OB 규격의 동일성 미확인</x:v>
      </x:c>
      <x:c r="R97" s="81" t="n">
        <x:f>K97</x:f>
        <x:v>14</x:v>
      </x:c>
      <x:c r="S97" s="83" t="n">
        <x:f>MAX(0,MIN(1,($B$15-I97+1)/(J97-I97+1)))</x:f>
        <x:v>0</x:v>
      </x:c>
      <x:c r="T97" s="87" t="str">
        <x:f>IF(ISNUMBER(O97),IF(R97&lt;=$B$15,O97,0),"미산정")</x:f>
        <x:v>미산정</x:v>
      </x:c>
      <x:c r="U97" s="87" t="str">
        <x:f>IF(ISNUMBER(O97),MIN(T97,ROUND(O97*S97,0)),"미산정")</x:f>
        <x:v>미산정</x:v>
      </x:c>
      <x:c r="V97" s="87" t="str">
        <x:f>IF(ISNUMBER(O97),T97-U97,"미산정")</x:f>
        <x:v>미산정</x:v>
      </x:c>
      <x:c r="W97" s="87" t="str">
        <x:f>IF(ISNUMBER(O97),O97-T97,"미산정")</x:f>
        <x:v>미산정</x:v>
      </x:c>
      <x:c r="X97" s="87" t="str">
        <x:f>IF(ISNUMBER(O97),O97-U97,"미산정")</x:f>
        <x:v>미산정</x:v>
      </x:c>
    </x:row>
    <x:row r="98" ht="44" customHeight="1">
      <x:c r="A98" s="25" t="n">
        <x:v>88</x:v>
      </x:c>
      <x:c r="B98" s="25" t="str">
        <x:v>104동</x:v>
      </x:c>
      <x:c r="C98" s="6" t="str">
        <x:v>시스템동바리 조립</x:v>
      </x:c>
      <x:c r="D98" s="6" t="str">
        <x:v>SB-1712</x:v>
      </x:c>
      <x:c r="E98" s="6" t="str">
        <x:v>가새재</x:v>
      </x:c>
      <x:c r="F98" s="6" t="str">
        <x:v>DSD-1712 / L=1,974mm</x:v>
      </x:c>
      <x:c r="G98" s="6" t="str">
        <x:v>본</x:v>
      </x:c>
      <x:c r="H98" s="18" t="n">
        <x:v>438</x:v>
      </x:c>
      <x:c r="I98" s="27" t="n">
        <x:v>15</x:v>
      </x:c>
      <x:c r="J98" s="27" t="n">
        <x:v>17</x:v>
      </x:c>
      <x:c r="K98" s="27" t="n">
        <x:v>14</x:v>
      </x:c>
      <x:c r="L98" s="6" t="str">
        <x:v>미등록</x:v>
      </x:c>
      <x:c r="M98" s="6" t="str">
        <x:v>미산정</x:v>
      </x:c>
      <x:c r="N98" s="28" t="str">
        <x:v>미산정</x:v>
      </x:c>
      <x:c r="O98" s="31" t="str">
        <x:f>IF(AND(N98="반영",ISNUMBER(H98)),H98,"미산정")</x:f>
        <x:v>미산정</x:v>
      </x:c>
      <x:c r="P98" s="28" t="str">
        <x:v>해당 없음</x:v>
      </x:c>
      <x:c r="Q98" s="14" t="str">
        <x:v>원자료 치수·DSD 코드와 웹 P·H·OB 규격의 동일성 미확인</x:v>
      </x:c>
      <x:c r="R98" s="81" t="n">
        <x:f>K98</x:f>
        <x:v>14</x:v>
      </x:c>
      <x:c r="S98" s="84" t="n">
        <x:f>MAX(0,MIN(1,($B$15-I98+1)/(J98-I98+1)))</x:f>
        <x:v>0</x:v>
      </x:c>
      <x:c r="T98" s="88" t="str">
        <x:f>IF(ISNUMBER(O98),IF(R98&lt;=$B$15,O98,0),"미산정")</x:f>
        <x:v>미산정</x:v>
      </x:c>
      <x:c r="U98" s="88" t="str">
        <x:f>IF(ISNUMBER(O98),MIN(T98,ROUND(O98*S98,0)),"미산정")</x:f>
        <x:v>미산정</x:v>
      </x:c>
      <x:c r="V98" s="88" t="str">
        <x:f>IF(ISNUMBER(O98),T98-U98,"미산정")</x:f>
        <x:v>미산정</x:v>
      </x:c>
      <x:c r="W98" s="88" t="str">
        <x:f>IF(ISNUMBER(O98),O98-T98,"미산정")</x:f>
        <x:v>미산정</x:v>
      </x:c>
      <x:c r="X98" s="88" t="str">
        <x:f>IF(ISNUMBER(O98),O98-U98,"미산정")</x:f>
        <x:v>미산정</x:v>
      </x:c>
    </x:row>
    <x:row r="99" ht="44" customHeight="1">
      <x:c r="A99" s="24" t="n">
        <x:v>89</x:v>
      </x:c>
      <x:c r="B99" s="24" t="str">
        <x:v>104동</x:v>
      </x:c>
      <x:c r="C99" s="13" t="str">
        <x:v>시스템동바리 조립</x:v>
      </x:c>
      <x:c r="D99" s="13" t="str">
        <x:v>SB-1212</x:v>
      </x:c>
      <x:c r="E99" s="13" t="str">
        <x:v>가새재</x:v>
      </x:c>
      <x:c r="F99" s="13" t="str">
        <x:v>DSD-1212 / L=1,609mm</x:v>
      </x:c>
      <x:c r="G99" s="13" t="str">
        <x:v>본</x:v>
      </x:c>
      <x:c r="H99" s="17" t="n">
        <x:v>87</x:v>
      </x:c>
      <x:c r="I99" s="26" t="n">
        <x:v>15</x:v>
      </x:c>
      <x:c r="J99" s="26" t="n">
        <x:v>17</x:v>
      </x:c>
      <x:c r="K99" s="26" t="n">
        <x:v>14</x:v>
      </x:c>
      <x:c r="L99" s="13" t="str">
        <x:v>미등록</x:v>
      </x:c>
      <x:c r="M99" s="13" t="str">
        <x:v>미산정</x:v>
      </x:c>
      <x:c r="N99" s="28" t="str">
        <x:v>미산정</x:v>
      </x:c>
      <x:c r="O99" s="31" t="str">
        <x:f>IF(AND(N99="반영",ISNUMBER(H99)),H99,"미산정")</x:f>
        <x:v>미산정</x:v>
      </x:c>
      <x:c r="P99" s="28" t="str">
        <x:v>해당 없음</x:v>
      </x:c>
      <x:c r="Q99" s="14" t="str">
        <x:v>원자료 치수·DSD 코드와 웹 P·H·OB 규격의 동일성 미확인</x:v>
      </x:c>
      <x:c r="R99" s="81" t="n">
        <x:f>K99</x:f>
        <x:v>14</x:v>
      </x:c>
      <x:c r="S99" s="83" t="n">
        <x:f>MAX(0,MIN(1,($B$15-I99+1)/(J99-I99+1)))</x:f>
        <x:v>0</x:v>
      </x:c>
      <x:c r="T99" s="87" t="str">
        <x:f>IF(ISNUMBER(O99),IF(R99&lt;=$B$15,O99,0),"미산정")</x:f>
        <x:v>미산정</x:v>
      </x:c>
      <x:c r="U99" s="87" t="str">
        <x:f>IF(ISNUMBER(O99),MIN(T99,ROUND(O99*S99,0)),"미산정")</x:f>
        <x:v>미산정</x:v>
      </x:c>
      <x:c r="V99" s="87" t="str">
        <x:f>IF(ISNUMBER(O99),T99-U99,"미산정")</x:f>
        <x:v>미산정</x:v>
      </x:c>
      <x:c r="W99" s="87" t="str">
        <x:f>IF(ISNUMBER(O99),O99-T99,"미산정")</x:f>
        <x:v>미산정</x:v>
      </x:c>
      <x:c r="X99" s="87" t="str">
        <x:f>IF(ISNUMBER(O99),O99-U99,"미산정")</x:f>
        <x:v>미산정</x:v>
      </x:c>
    </x:row>
    <x:row r="100" ht="44" customHeight="1">
      <x:c r="A100" s="25" t="n">
        <x:v>90</x:v>
      </x:c>
      <x:c r="B100" s="25" t="str">
        <x:v>104동</x:v>
      </x:c>
      <x:c r="C100" s="6" t="str">
        <x:v>시스템동바리 조립</x:v>
      </x:c>
      <x:c r="D100" s="6" t="str">
        <x:v>SB-0812</x:v>
      </x:c>
      <x:c r="E100" s="6" t="str">
        <x:v>가새재</x:v>
      </x:c>
      <x:c r="F100" s="6" t="str">
        <x:v>DSD-0812 / L=1,290mm</x:v>
      </x:c>
      <x:c r="G100" s="6" t="str">
        <x:v>본</x:v>
      </x:c>
      <x:c r="H100" s="18" t="n">
        <x:v>262</x:v>
      </x:c>
      <x:c r="I100" s="27" t="n">
        <x:v>15</x:v>
      </x:c>
      <x:c r="J100" s="27" t="n">
        <x:v>17</x:v>
      </x:c>
      <x:c r="K100" s="27" t="n">
        <x:v>14</x:v>
      </x:c>
      <x:c r="L100" s="6" t="str">
        <x:v>미등록</x:v>
      </x:c>
      <x:c r="M100" s="6" t="str">
        <x:v>미산정</x:v>
      </x:c>
      <x:c r="N100" s="28" t="str">
        <x:v>미산정</x:v>
      </x:c>
      <x:c r="O100" s="31" t="str">
        <x:f>IF(AND(N100="반영",ISNUMBER(H100)),H100,"미산정")</x:f>
        <x:v>미산정</x:v>
      </x:c>
      <x:c r="P100" s="28" t="str">
        <x:v>해당 없음</x:v>
      </x:c>
      <x:c r="Q100" s="14" t="str">
        <x:v>원자료 치수·DSD 코드와 웹 P·H·OB 규격의 동일성 미확인</x:v>
      </x:c>
      <x:c r="R100" s="81" t="n">
        <x:f>K100</x:f>
        <x:v>14</x:v>
      </x:c>
      <x:c r="S100" s="84" t="n">
        <x:f>MAX(0,MIN(1,($B$15-I100+1)/(J100-I100+1)))</x:f>
        <x:v>0</x:v>
      </x:c>
      <x:c r="T100" s="88" t="str">
        <x:f>IF(ISNUMBER(O100),IF(R100&lt;=$B$15,O100,0),"미산정")</x:f>
        <x:v>미산정</x:v>
      </x:c>
      <x:c r="U100" s="88" t="str">
        <x:f>IF(ISNUMBER(O100),MIN(T100,ROUND(O100*S100,0)),"미산정")</x:f>
        <x:v>미산정</x:v>
      </x:c>
      <x:c r="V100" s="88" t="str">
        <x:f>IF(ISNUMBER(O100),T100-U100,"미산정")</x:f>
        <x:v>미산정</x:v>
      </x:c>
      <x:c r="W100" s="88" t="str">
        <x:f>IF(ISNUMBER(O100),O100-T100,"미산정")</x:f>
        <x:v>미산정</x:v>
      </x:c>
      <x:c r="X100" s="88" t="str">
        <x:f>IF(ISNUMBER(O100),O100-U100,"미산정")</x:f>
        <x:v>미산정</x:v>
      </x:c>
    </x:row>
    <x:row r="101" ht="44" customHeight="1">
      <x:c r="A101" s="24" t="n">
        <x:v>91</x:v>
      </x:c>
      <x:c r="B101" s="24" t="str">
        <x:v>104동</x:v>
      </x:c>
      <x:c r="C101" s="13" t="str">
        <x:v>시스템동바리 조립</x:v>
      </x:c>
      <x:c r="D101" s="13" t="str">
        <x:v>UJ-600</x:v>
      </x:c>
      <x:c r="E101" s="13" t="str">
        <x:v>U헤드 잭</x:v>
      </x:c>
      <x:c r="F101" s="13" t="str">
        <x:v>Ø45 / L=600mm</x:v>
      </x:c>
      <x:c r="G101" s="13" t="str">
        <x:v>개</x:v>
      </x:c>
      <x:c r="H101" s="17" t="n">
        <x:v>546</x:v>
      </x:c>
      <x:c r="I101" s="26" t="n">
        <x:v>15</x:v>
      </x:c>
      <x:c r="J101" s="26" t="n">
        <x:v>17</x:v>
      </x:c>
      <x:c r="K101" s="26" t="n">
        <x:v>14</x:v>
      </x:c>
      <x:c r="L101" s="13" t="str">
        <x:v>시스템서포트</x:v>
      </x:c>
      <x:c r="M101" s="13" t="str">
        <x:v>동바리 상부자키</x:v>
      </x:c>
      <x:c r="N101" s="24" t="str">
        <x:v>반영</x:v>
      </x:c>
      <x:c r="O101" s="29" t="n">
        <x:f>IF(AND(N101="반영",ISNUMBER(H101)),H101,"미산정")</x:f>
        <x:v>546</x:v>
      </x:c>
      <x:c r="P101" s="24" t="str">
        <x:v>해당 없음</x:v>
      </x:c>
      <x:c r="Q101" s="13" t="str">
        <x:v>U헤드 잭 → 등록된 동바리 상부자키. 원자료 치수 별도 보존</x:v>
      </x:c>
      <x:c r="R101" s="82" t="n">
        <x:v>9</x:v>
      </x:c>
      <x:c r="S101" s="83" t="n">
        <x:f>MAX(0,MIN(1,($B$15-I101+1)/(J101-I101+1)))</x:f>
        <x:v>0</x:v>
      </x:c>
      <x:c r="T101" s="87" t="n">
        <x:f>IF(ISNUMBER(O101),IF(R101&lt;=$B$15,O101,0),"미산정")</x:f>
        <x:v>546</x:v>
      </x:c>
      <x:c r="U101" s="87" t="n">
        <x:f>IF(ISNUMBER(O101),MIN(T101,ROUND(O101*S101,0)),"미산정")</x:f>
        <x:v>0</x:v>
      </x:c>
      <x:c r="V101" s="87" t="n">
        <x:f>IF(ISNUMBER(O101),T101-U101,"미산정")</x:f>
        <x:v>546</x:v>
      </x:c>
      <x:c r="W101" s="87" t="n">
        <x:f>IF(ISNUMBER(O101),O101-T101,"미산정")</x:f>
        <x:v>0</x:v>
      </x:c>
      <x:c r="X101" s="87" t="n">
        <x:f>IF(ISNUMBER(O101),O101-U101,"미산정")</x:f>
        <x:v>546</x:v>
      </x:c>
    </x:row>
    <x:row r="102" ht="44" customHeight="1">
      <x:c r="A102" s="25" t="n">
        <x:v>92</x:v>
      </x:c>
      <x:c r="B102" s="25" t="str">
        <x:v>104동</x:v>
      </x:c>
      <x:c r="C102" s="6" t="str">
        <x:v>시스템동바리 조립</x:v>
      </x:c>
      <x:c r="D102" s="6" t="str">
        <x:v>BJ-600</x:v>
      </x:c>
      <x:c r="E102" s="6" t="str">
        <x:v>베이스 잭</x:v>
      </x:c>
      <x:c r="F102" s="6" t="str">
        <x:v>Ø45 / L=600mm</x:v>
      </x:c>
      <x:c r="G102" s="6" t="str">
        <x:v>개</x:v>
      </x:c>
      <x:c r="H102" s="18" t="n">
        <x:v>546</x:v>
      </x:c>
      <x:c r="I102" s="27" t="n">
        <x:v>15</x:v>
      </x:c>
      <x:c r="J102" s="27" t="n">
        <x:v>17</x:v>
      </x:c>
      <x:c r="K102" s="27" t="n">
        <x:v>14</x:v>
      </x:c>
      <x:c r="L102" s="6" t="str">
        <x:v>시스템서포트</x:v>
      </x:c>
      <x:c r="M102" s="6" t="str">
        <x:v>동바리 하부자키</x:v>
      </x:c>
      <x:c r="N102" s="25" t="str">
        <x:v>반영</x:v>
      </x:c>
      <x:c r="O102" s="30" t="n">
        <x:f>IF(AND(N102="반영",ISNUMBER(H102)),H102,"미산정")</x:f>
        <x:v>546</x:v>
      </x:c>
      <x:c r="P102" s="25" t="str">
        <x:v>해당 없음</x:v>
      </x:c>
      <x:c r="Q102" s="6" t="str">
        <x:v>베이스 잭 → 등록된 동바리 하부자키. 원자료 치수 별도 보존</x:v>
      </x:c>
      <x:c r="R102" s="82" t="n">
        <x:v>9</x:v>
      </x:c>
      <x:c r="S102" s="84" t="n">
        <x:f>MAX(0,MIN(1,($B$15-I102+1)/(J102-I102+1)))</x:f>
        <x:v>0</x:v>
      </x:c>
      <x:c r="T102" s="88" t="n">
        <x:f>IF(ISNUMBER(O102),IF(R102&lt;=$B$15,O102,0),"미산정")</x:f>
        <x:v>546</x:v>
      </x:c>
      <x:c r="U102" s="88" t="n">
        <x:f>IF(ISNUMBER(O102),MIN(T102,ROUND(O102*S102,0)),"미산정")</x:f>
        <x:v>0</x:v>
      </x:c>
      <x:c r="V102" s="88" t="n">
        <x:f>IF(ISNUMBER(O102),T102-U102,"미산정")</x:f>
        <x:v>546</x:v>
      </x:c>
      <x:c r="W102" s="88" t="n">
        <x:f>IF(ISNUMBER(O102),O102-T102,"미산정")</x:f>
        <x:v>0</x:v>
      </x:c>
      <x:c r="X102" s="88" t="n">
        <x:f>IF(ISNUMBER(O102),O102-U102,"미산정")</x:f>
        <x:v>546</x:v>
      </x:c>
    </x:row>
    <x:row r="103" ht="44" customHeight="1">
      <x:c r="A103" s="24" t="n">
        <x:v>93</x:v>
      </x:c>
      <x:c r="B103" s="24" t="str">
        <x:v>104동</x:v>
      </x:c>
      <x:c r="C103" s="13" t="str">
        <x:v>시스템동바리 조립</x:v>
      </x:c>
      <x:c r="D103" s="13" t="str">
        <x:v>CP-120</x:v>
      </x:c>
      <x:c r="E103" s="13" t="str">
        <x:v>연결 카프링</x:v>
      </x:c>
      <x:c r="F103" s="13" t="str">
        <x:v>Ø60.5 / L=120mm</x:v>
      </x:c>
      <x:c r="G103" s="13" t="str">
        <x:v>개</x:v>
      </x:c>
      <x:c r="H103" s="17" t="n">
        <x:v>1092</x:v>
      </x:c>
      <x:c r="I103" s="26" t="n">
        <x:v>15</x:v>
      </x:c>
      <x:c r="J103" s="26" t="n">
        <x:v>17</x:v>
      </x:c>
      <x:c r="K103" s="26" t="n">
        <x:v>14</x:v>
      </x:c>
      <x:c r="L103" s="13" t="str">
        <x:v>시스템서포트</x:v>
      </x:c>
      <x:c r="M103" s="13" t="str">
        <x:v>카플링(소켓)</x:v>
      </x:c>
      <x:c r="N103" s="24" t="str">
        <x:v>반영</x:v>
      </x:c>
      <x:c r="O103" s="29" t="n">
        <x:f>IF(AND(N103="반영",ISNUMBER(H103)),H103,"미산정")</x:f>
        <x:v>1092</x:v>
      </x:c>
      <x:c r="P103" s="24" t="str">
        <x:v>해당 없음</x:v>
      </x:c>
      <x:c r="Q103" s="13" t="str">
        <x:v>연결 카플링 → 등록된 카플링(소켓). 원자료 치수 별도 보존</x:v>
      </x:c>
      <x:c r="R103" s="82" t="n">
        <x:v>9</x:v>
      </x:c>
      <x:c r="S103" s="83" t="n">
        <x:f>MAX(0,MIN(1,($B$15-I103+1)/(J103-I103+1)))</x:f>
        <x:v>0</x:v>
      </x:c>
      <x:c r="T103" s="87" t="n">
        <x:f>IF(ISNUMBER(O103),IF(R103&lt;=$B$15,O103,0),"미산정")</x:f>
        <x:v>1092</x:v>
      </x:c>
      <x:c r="U103" s="87" t="n">
        <x:f>IF(ISNUMBER(O103),MIN(T103,ROUND(O103*S103,0)),"미산정")</x:f>
        <x:v>0</x:v>
      </x:c>
      <x:c r="V103" s="87" t="n">
        <x:f>IF(ISNUMBER(O103),T103-U103,"미산정")</x:f>
        <x:v>1092</x:v>
      </x:c>
      <x:c r="W103" s="87" t="n">
        <x:f>IF(ISNUMBER(O103),O103-T103,"미산정")</x:f>
        <x:v>0</x:v>
      </x:c>
      <x:c r="X103" s="87" t="n">
        <x:f>IF(ISNUMBER(O103),O103-U103,"미산정")</x:f>
        <x:v>1092</x:v>
      </x:c>
    </x:row>
    <x:row r="104" ht="44" customHeight="1">
      <x:c r="A104" s="25" t="n">
        <x:v>94</x:v>
      </x:c>
      <x:c r="B104" s="25" t="str">
        <x:v>104동</x:v>
      </x:c>
      <x:c r="C104" s="6" t="str">
        <x:v>보·슬래브 거푸집</x:v>
      </x:c>
      <x:c r="D104" s="6" t="str">
        <x:v>PW-1224</x:v>
      </x:c>
      <x:c r="E104" s="6" t="str">
        <x:v>코팅합판</x:v>
      </x:c>
      <x:c r="F104" s="6" t="str">
        <x:v>1,220×2,440×12mm</x:v>
      </x:c>
      <x:c r="G104" s="6" t="str">
        <x:v>장</x:v>
      </x:c>
      <x:c r="H104" s="18" t="n">
        <x:v>355</x:v>
      </x:c>
      <x:c r="I104" s="27" t="n">
        <x:v>18</x:v>
      </x:c>
      <x:c r="J104" s="27" t="n">
        <x:v>21</x:v>
      </x:c>
      <x:c r="K104" s="27" t="n">
        <x:v>17</x:v>
      </x:c>
      <x:c r="L104" s="6" t="str">
        <x:v>미등록</x:v>
      </x:c>
      <x:c r="M104" s="6" t="str">
        <x:v>미산정</x:v>
      </x:c>
      <x:c r="N104" s="28" t="str">
        <x:v>미산정</x:v>
      </x:c>
      <x:c r="O104" s="31" t="str">
        <x:f>IF(AND(N104="반영",ISNUMBER(H104)),H104,"미산정")</x:f>
        <x:v>미산정</x:v>
      </x:c>
      <x:c r="P104" s="28" t="str">
        <x:v>해당 없음</x:v>
      </x:c>
      <x:c r="Q104" s="14" t="str">
        <x:v>현재 웹 등록 품목에 없음. 다른 품목으로 대체하지 않음</x:v>
      </x:c>
      <x:c r="R104" s="81" t="n">
        <x:f>K104</x:f>
        <x:v>17</x:v>
      </x:c>
      <x:c r="S104" s="84" t="n">
        <x:f>MAX(0,MIN(1,($B$15-I104+1)/(J104-I104+1)))</x:f>
        <x:v>0</x:v>
      </x:c>
      <x:c r="T104" s="88" t="str">
        <x:f>IF(ISNUMBER(O104),IF(R104&lt;=$B$15,O104,0),"미산정")</x:f>
        <x:v>미산정</x:v>
      </x:c>
      <x:c r="U104" s="88" t="str">
        <x:f>IF(ISNUMBER(O104),MIN(T104,ROUND(O104*S104,0)),"미산정")</x:f>
        <x:v>미산정</x:v>
      </x:c>
      <x:c r="V104" s="88" t="str">
        <x:f>IF(ISNUMBER(O104),T104-U104,"미산정")</x:f>
        <x:v>미산정</x:v>
      </x:c>
      <x:c r="W104" s="88" t="str">
        <x:f>IF(ISNUMBER(O104),O104-T104,"미산정")</x:f>
        <x:v>미산정</x:v>
      </x:c>
      <x:c r="X104" s="88" t="str">
        <x:f>IF(ISNUMBER(O104),O104-U104,"미산정")</x:f>
        <x:v>미산정</x:v>
      </x:c>
    </x:row>
    <x:row r="105" ht="44" customHeight="1">
      <x:c r="A105" s="24" t="n">
        <x:v>95</x:v>
      </x:c>
      <x:c r="B105" s="24" t="str">
        <x:v>104동</x:v>
      </x:c>
      <x:c r="C105" s="13" t="str">
        <x:v>보·슬래브 거푸집</x:v>
      </x:c>
      <x:c r="D105" s="13" t="str">
        <x:v>JO-4000</x:v>
      </x:c>
      <x:c r="E105" s="13" t="str">
        <x:v>각관 장선</x:v>
      </x:c>
      <x:c r="F105" s="13" t="str">
        <x:v>50×50×2.3mm / L=4,000mm</x:v>
      </x:c>
      <x:c r="G105" s="13" t="str">
        <x:v>본</x:v>
      </x:c>
      <x:c r="H105" s="17" t="n">
        <x:v>660</x:v>
      </x:c>
      <x:c r="I105" s="26" t="n">
        <x:v>18</x:v>
      </x:c>
      <x:c r="J105" s="26" t="n">
        <x:v>21</x:v>
      </x:c>
      <x:c r="K105" s="26" t="n">
        <x:v>17</x:v>
      </x:c>
      <x:c r="L105" s="13" t="str">
        <x:v>미등록</x:v>
      </x:c>
      <x:c r="M105" s="13" t="str">
        <x:v>미산정</x:v>
      </x:c>
      <x:c r="N105" s="28" t="str">
        <x:v>미산정</x:v>
      </x:c>
      <x:c r="O105" s="31" t="str">
        <x:f>IF(AND(N105="반영",ISNUMBER(H105)),H105,"미산정")</x:f>
        <x:v>미산정</x:v>
      </x:c>
      <x:c r="P105" s="28" t="str">
        <x:v>해당 없음</x:v>
      </x:c>
      <x:c r="Q105" s="14" t="str">
        <x:v>현재 웹 등록 품목에 없음. 다른 품목으로 대체하지 않음</x:v>
      </x:c>
      <x:c r="R105" s="81" t="n">
        <x:f>K105</x:f>
        <x:v>17</x:v>
      </x:c>
      <x:c r="S105" s="83" t="n">
        <x:f>MAX(0,MIN(1,($B$15-I105+1)/(J105-I105+1)))</x:f>
        <x:v>0</x:v>
      </x:c>
      <x:c r="T105" s="87" t="str">
        <x:f>IF(ISNUMBER(O105),IF(R105&lt;=$B$15,O105,0),"미산정")</x:f>
        <x:v>미산정</x:v>
      </x:c>
      <x:c r="U105" s="87" t="str">
        <x:f>IF(ISNUMBER(O105),MIN(T105,ROUND(O105*S105,0)),"미산정")</x:f>
        <x:v>미산정</x:v>
      </x:c>
      <x:c r="V105" s="87" t="str">
        <x:f>IF(ISNUMBER(O105),T105-U105,"미산정")</x:f>
        <x:v>미산정</x:v>
      </x:c>
      <x:c r="W105" s="87" t="str">
        <x:f>IF(ISNUMBER(O105),O105-T105,"미산정")</x:f>
        <x:v>미산정</x:v>
      </x:c>
      <x:c r="X105" s="87" t="str">
        <x:f>IF(ISNUMBER(O105),O105-U105,"미산정")</x:f>
        <x:v>미산정</x:v>
      </x:c>
    </x:row>
    <x:row r="106" ht="44" customHeight="1">
      <x:c r="A106" s="25" t="n">
        <x:v>96</x:v>
      </x:c>
      <x:c r="B106" s="25" t="str">
        <x:v>104동</x:v>
      </x:c>
      <x:c r="C106" s="6" t="str">
        <x:v>보·슬래브 거푸집</x:v>
      </x:c>
      <x:c r="D106" s="6" t="str">
        <x:v>BE-3000</x:v>
      </x:c>
      <x:c r="E106" s="6" t="str">
        <x:v>시스템 멍에</x:v>
      </x:c>
      <x:c r="F106" s="6" t="str">
        <x:v>선정 제품 길이 3,000mm</x:v>
      </x:c>
      <x:c r="G106" s="6" t="str">
        <x:v>본</x:v>
      </x:c>
      <x:c r="H106" s="18" t="n">
        <x:v>229</x:v>
      </x:c>
      <x:c r="I106" s="27" t="n">
        <x:v>18</x:v>
      </x:c>
      <x:c r="J106" s="27" t="n">
        <x:v>21</x:v>
      </x:c>
      <x:c r="K106" s="27" t="n">
        <x:v>17</x:v>
      </x:c>
      <x:c r="L106" s="6" t="str">
        <x:v>미등록</x:v>
      </x:c>
      <x:c r="M106" s="6" t="str">
        <x:v>미산정</x:v>
      </x:c>
      <x:c r="N106" s="28" t="str">
        <x:v>미산정</x:v>
      </x:c>
      <x:c r="O106" s="31" t="str">
        <x:f>IF(AND(N106="반영",ISNUMBER(H106)),H106,"미산정")</x:f>
        <x:v>미산정</x:v>
      </x:c>
      <x:c r="P106" s="28" t="str">
        <x:v>해당 없음</x:v>
      </x:c>
      <x:c r="Q106" s="14" t="str">
        <x:v>현재 웹 등록 품목에 없음. 다른 품목으로 대체하지 않음</x:v>
      </x:c>
      <x:c r="R106" s="81" t="n">
        <x:f>K106</x:f>
        <x:v>17</x:v>
      </x:c>
      <x:c r="S106" s="84" t="n">
        <x:f>MAX(0,MIN(1,($B$15-I106+1)/(J106-I106+1)))</x:f>
        <x:v>0</x:v>
      </x:c>
      <x:c r="T106" s="88" t="str">
        <x:f>IF(ISNUMBER(O106),IF(R106&lt;=$B$15,O106,0),"미산정")</x:f>
        <x:v>미산정</x:v>
      </x:c>
      <x:c r="U106" s="88" t="str">
        <x:f>IF(ISNUMBER(O106),MIN(T106,ROUND(O106*S106,0)),"미산정")</x:f>
        <x:v>미산정</x:v>
      </x:c>
      <x:c r="V106" s="88" t="str">
        <x:f>IF(ISNUMBER(O106),T106-U106,"미산정")</x:f>
        <x:v>미산정</x:v>
      </x:c>
      <x:c r="W106" s="88" t="str">
        <x:f>IF(ISNUMBER(O106),O106-T106,"미산정")</x:f>
        <x:v>미산정</x:v>
      </x:c>
      <x:c r="X106" s="88" t="str">
        <x:f>IF(ISNUMBER(O106),O106-U106,"미산정")</x:f>
        <x:v>미산정</x:v>
      </x:c>
    </x:row>
    <x:row r="107" ht="44" customHeight="1">
      <x:c r="A107" s="24" t="n">
        <x:v>97</x:v>
      </x:c>
      <x:c r="B107" s="24" t="str">
        <x:v>104동</x:v>
      </x:c>
      <x:c r="C107" s="13" t="str">
        <x:v>보·슬래브 철근배근</x:v>
      </x:c>
      <x:c r="D107" s="13" t="str">
        <x:v>RB-D10</x:v>
      </x:c>
      <x:c r="E107" s="13" t="str">
        <x:v>철근</x:v>
      </x:c>
      <x:c r="F107" s="13" t="str">
        <x:v>SD500 D10 / 부위별 공장 가공</x:v>
      </x:c>
      <x:c r="G107" s="13" t="str">
        <x:v>kg</x:v>
      </x:c>
      <x:c r="H107" s="17" t="n">
        <x:v>2770</x:v>
      </x:c>
      <x:c r="I107" s="26" t="n">
        <x:v>22</x:v>
      </x:c>
      <x:c r="J107" s="26" t="n">
        <x:v>24</x:v>
      </x:c>
      <x:c r="K107" s="26" t="n">
        <x:v>21</x:v>
      </x:c>
      <x:c r="L107" s="13" t="str">
        <x:v>철근</x:v>
      </x:c>
      <x:c r="M107" s="13" t="str">
        <x:v>D10</x:v>
      </x:c>
      <x:c r="N107" s="24" t="str">
        <x:v>반영</x:v>
      </x:c>
      <x:c r="O107" s="29" t="n">
        <x:f>IF(AND(N107="반영",ISNUMBER(H107)),H107,"미산정")</x:f>
        <x:v>2770</x:v>
      </x:c>
      <x:c r="P107" s="24" t="str">
        <x:v>미제공</x:v>
      </x:c>
      <x:c r="Q107" s="13" t="str">
        <x:v>등록 품목·규격과 일치</x:v>
      </x:c>
      <x:c r="R107" s="82" t="n">
        <x:v>10</x:v>
      </x:c>
      <x:c r="S107" s="83" t="n">
        <x:f>MAX(0,MIN(1,($B$15-I107+1)/(J107-I107+1)))</x:f>
        <x:v>0</x:v>
      </x:c>
      <x:c r="T107" s="87" t="n">
        <x:f>IF(ISNUMBER(O107),IF(R107&lt;=$B$15,O107,0),"미산정")</x:f>
        <x:v>2770</x:v>
      </x:c>
      <x:c r="U107" s="87" t="n">
        <x:f>IF(ISNUMBER(O107),MIN(T107,ROUND(O107*S107,0)),"미산정")</x:f>
        <x:v>0</x:v>
      </x:c>
      <x:c r="V107" s="87" t="n">
        <x:f>IF(ISNUMBER(O107),T107-U107,"미산정")</x:f>
        <x:v>2770</x:v>
      </x:c>
      <x:c r="W107" s="87" t="n">
        <x:f>IF(ISNUMBER(O107),O107-T107,"미산정")</x:f>
        <x:v>0</x:v>
      </x:c>
      <x:c r="X107" s="87" t="n">
        <x:f>IF(ISNUMBER(O107),O107-U107,"미산정")</x:f>
        <x:v>2770</x:v>
      </x:c>
    </x:row>
    <x:row r="108" ht="44" customHeight="1">
      <x:c r="A108" s="25" t="n">
        <x:v>98</x:v>
      </x:c>
      <x:c r="B108" s="25" t="str">
        <x:v>104동</x:v>
      </x:c>
      <x:c r="C108" s="6" t="str">
        <x:v>보·슬래브 철근배근</x:v>
      </x:c>
      <x:c r="D108" s="6" t="str">
        <x:v>RB-D13</x:v>
      </x:c>
      <x:c r="E108" s="6" t="str">
        <x:v>철근</x:v>
      </x:c>
      <x:c r="F108" s="6" t="str">
        <x:v>SD500 D13 / 부위별 공장 가공</x:v>
      </x:c>
      <x:c r="G108" s="6" t="str">
        <x:v>kg</x:v>
      </x:c>
      <x:c r="H108" s="18" t="n">
        <x:v>6910</x:v>
      </x:c>
      <x:c r="I108" s="27" t="n">
        <x:v>22</x:v>
      </x:c>
      <x:c r="J108" s="27" t="n">
        <x:v>24</x:v>
      </x:c>
      <x:c r="K108" s="27" t="n">
        <x:v>21</x:v>
      </x:c>
      <x:c r="L108" s="6" t="str">
        <x:v>철근</x:v>
      </x:c>
      <x:c r="M108" s="6" t="str">
        <x:v>D13</x:v>
      </x:c>
      <x:c r="N108" s="25" t="str">
        <x:v>반영</x:v>
      </x:c>
      <x:c r="O108" s="30" t="n">
        <x:f>IF(AND(N108="반영",ISNUMBER(H108)),H108,"미산정")</x:f>
        <x:v>6910</x:v>
      </x:c>
      <x:c r="P108" s="25" t="str">
        <x:v>미제공</x:v>
      </x:c>
      <x:c r="Q108" s="6" t="str">
        <x:v>등록 품목·규격과 일치</x:v>
      </x:c>
      <x:c r="R108" s="82" t="n">
        <x:v>10</x:v>
      </x:c>
      <x:c r="S108" s="84" t="n">
        <x:f>MAX(0,MIN(1,($B$15-I108+1)/(J108-I108+1)))</x:f>
        <x:v>0</x:v>
      </x:c>
      <x:c r="T108" s="88" t="n">
        <x:f>IF(ISNUMBER(O108),IF(R108&lt;=$B$15,O108,0),"미산정")</x:f>
        <x:v>6910</x:v>
      </x:c>
      <x:c r="U108" s="88" t="n">
        <x:f>IF(ISNUMBER(O108),MIN(T108,ROUND(O108*S108,0)),"미산정")</x:f>
        <x:v>0</x:v>
      </x:c>
      <x:c r="V108" s="88" t="n">
        <x:f>IF(ISNUMBER(O108),T108-U108,"미산정")</x:f>
        <x:v>6910</x:v>
      </x:c>
      <x:c r="W108" s="88" t="n">
        <x:f>IF(ISNUMBER(O108),O108-T108,"미산정")</x:f>
        <x:v>0</x:v>
      </x:c>
      <x:c r="X108" s="88" t="n">
        <x:f>IF(ISNUMBER(O108),O108-U108,"미산정")</x:f>
        <x:v>6910</x:v>
      </x:c>
    </x:row>
    <x:row r="109" ht="44" customHeight="1">
      <x:c r="A109" s="24" t="n">
        <x:v>99</x:v>
      </x:c>
      <x:c r="B109" s="24" t="str">
        <x:v>104동</x:v>
      </x:c>
      <x:c r="C109" s="13" t="str">
        <x:v>보·슬래브 철근배근</x:v>
      </x:c>
      <x:c r="D109" s="13" t="str">
        <x:v>RB-D16</x:v>
      </x:c>
      <x:c r="E109" s="13" t="str">
        <x:v>철근</x:v>
      </x:c>
      <x:c r="F109" s="13" t="str">
        <x:v>SD500 D16 / 부위별 공장 가공</x:v>
      </x:c>
      <x:c r="G109" s="13" t="str">
        <x:v>kg</x:v>
      </x:c>
      <x:c r="H109" s="17" t="n">
        <x:v>5530</x:v>
      </x:c>
      <x:c r="I109" s="26" t="n">
        <x:v>22</x:v>
      </x:c>
      <x:c r="J109" s="26" t="n">
        <x:v>24</x:v>
      </x:c>
      <x:c r="K109" s="26" t="n">
        <x:v>21</x:v>
      </x:c>
      <x:c r="L109" s="13" t="str">
        <x:v>철근</x:v>
      </x:c>
      <x:c r="M109" s="13" t="str">
        <x:v>D16</x:v>
      </x:c>
      <x:c r="N109" s="24" t="str">
        <x:v>반영</x:v>
      </x:c>
      <x:c r="O109" s="29" t="n">
        <x:f>IF(AND(N109="반영",ISNUMBER(H109)),H109,"미산정")</x:f>
        <x:v>5530</x:v>
      </x:c>
      <x:c r="P109" s="24" t="str">
        <x:v>미제공</x:v>
      </x:c>
      <x:c r="Q109" s="13" t="str">
        <x:v>등록 품목·규격과 일치</x:v>
      </x:c>
      <x:c r="R109" s="82" t="n">
        <x:v>10</x:v>
      </x:c>
      <x:c r="S109" s="83" t="n">
        <x:f>MAX(0,MIN(1,($B$15-I109+1)/(J109-I109+1)))</x:f>
        <x:v>0</x:v>
      </x:c>
      <x:c r="T109" s="87" t="n">
        <x:f>IF(ISNUMBER(O109),IF(R109&lt;=$B$15,O109,0),"미산정")</x:f>
        <x:v>5530</x:v>
      </x:c>
      <x:c r="U109" s="87" t="n">
        <x:f>IF(ISNUMBER(O109),MIN(T109,ROUND(O109*S109,0)),"미산정")</x:f>
        <x:v>0</x:v>
      </x:c>
      <x:c r="V109" s="87" t="n">
        <x:f>IF(ISNUMBER(O109),T109-U109,"미산정")</x:f>
        <x:v>5530</x:v>
      </x:c>
      <x:c r="W109" s="87" t="n">
        <x:f>IF(ISNUMBER(O109),O109-T109,"미산정")</x:f>
        <x:v>0</x:v>
      </x:c>
      <x:c r="X109" s="87" t="n">
        <x:f>IF(ISNUMBER(O109),O109-U109,"미산정")</x:f>
        <x:v>5530</x:v>
      </x:c>
    </x:row>
    <x:row r="110" ht="44" customHeight="1">
      <x:c r="A110" s="25" t="n">
        <x:v>100</x:v>
      </x:c>
      <x:c r="B110" s="25" t="str">
        <x:v>104동</x:v>
      </x:c>
      <x:c r="C110" s="6" t="str">
        <x:v>보·슬래브 철근배근</x:v>
      </x:c>
      <x:c r="D110" s="6" t="str">
        <x:v>RB-D19</x:v>
      </x:c>
      <x:c r="E110" s="6" t="str">
        <x:v>철근</x:v>
      </x:c>
      <x:c r="F110" s="6" t="str">
        <x:v>SD500 D19 / 부위별 공장 가공</x:v>
      </x:c>
      <x:c r="G110" s="6" t="str">
        <x:v>kg</x:v>
      </x:c>
      <x:c r="H110" s="18" t="n">
        <x:v>5530</x:v>
      </x:c>
      <x:c r="I110" s="27" t="n">
        <x:v>22</x:v>
      </x:c>
      <x:c r="J110" s="27" t="n">
        <x:v>24</x:v>
      </x:c>
      <x:c r="K110" s="27" t="n">
        <x:v>21</x:v>
      </x:c>
      <x:c r="L110" s="6" t="str">
        <x:v>철근</x:v>
      </x:c>
      <x:c r="M110" s="6" t="str">
        <x:v>D19</x:v>
      </x:c>
      <x:c r="N110" s="25" t="str">
        <x:v>반영</x:v>
      </x:c>
      <x:c r="O110" s="30" t="n">
        <x:f>IF(AND(N110="반영",ISNUMBER(H110)),H110,"미산정")</x:f>
        <x:v>5530</x:v>
      </x:c>
      <x:c r="P110" s="25" t="str">
        <x:v>미제공</x:v>
      </x:c>
      <x:c r="Q110" s="6" t="str">
        <x:v>등록 품목·규격과 일치</x:v>
      </x:c>
      <x:c r="R110" s="82" t="n">
        <x:v>10</x:v>
      </x:c>
      <x:c r="S110" s="84" t="n">
        <x:f>MAX(0,MIN(1,($B$15-I110+1)/(J110-I110+1)))</x:f>
        <x:v>0</x:v>
      </x:c>
      <x:c r="T110" s="88" t="n">
        <x:f>IF(ISNUMBER(O110),IF(R110&lt;=$B$15,O110,0),"미산정")</x:f>
        <x:v>5530</x:v>
      </x:c>
      <x:c r="U110" s="88" t="n">
        <x:f>IF(ISNUMBER(O110),MIN(T110,ROUND(O110*S110,0)),"미산정")</x:f>
        <x:v>0</x:v>
      </x:c>
      <x:c r="V110" s="88" t="n">
        <x:f>IF(ISNUMBER(O110),T110-U110,"미산정")</x:f>
        <x:v>5530</x:v>
      </x:c>
      <x:c r="W110" s="88" t="n">
        <x:f>IF(ISNUMBER(O110),O110-T110,"미산정")</x:f>
        <x:v>0</x:v>
      </x:c>
      <x:c r="X110" s="88" t="n">
        <x:f>IF(ISNUMBER(O110),O110-U110,"미산정")</x:f>
        <x:v>5530</x:v>
      </x:c>
    </x:row>
    <x:row r="111" ht="44" customHeight="1">
      <x:c r="A111" s="24" t="n">
        <x:v>101</x:v>
      </x:c>
      <x:c r="B111" s="24" t="str">
        <x:v>104동</x:v>
      </x:c>
      <x:c r="C111" s="13" t="str">
        <x:v>보·슬래브 철근배근</x:v>
      </x:c>
      <x:c r="D111" s="13" t="str">
        <x:v>RB-D22</x:v>
      </x:c>
      <x:c r="E111" s="13" t="str">
        <x:v>철근</x:v>
      </x:c>
      <x:c r="F111" s="13" t="str">
        <x:v>SD500 D22 / 부위별 공장 가공</x:v>
      </x:c>
      <x:c r="G111" s="13" t="str">
        <x:v>kg</x:v>
      </x:c>
      <x:c r="H111" s="17" t="n">
        <x:v>4140</x:v>
      </x:c>
      <x:c r="I111" s="26" t="n">
        <x:v>22</x:v>
      </x:c>
      <x:c r="J111" s="26" t="n">
        <x:v>24</x:v>
      </x:c>
      <x:c r="K111" s="26" t="n">
        <x:v>21</x:v>
      </x:c>
      <x:c r="L111" s="13" t="str">
        <x:v>철근</x:v>
      </x:c>
      <x:c r="M111" s="13" t="str">
        <x:v>D22</x:v>
      </x:c>
      <x:c r="N111" s="24" t="str">
        <x:v>반영</x:v>
      </x:c>
      <x:c r="O111" s="29" t="n">
        <x:f>IF(AND(N111="반영",ISNUMBER(H111)),H111,"미산정")</x:f>
        <x:v>4140</x:v>
      </x:c>
      <x:c r="P111" s="24" t="str">
        <x:v>미제공</x:v>
      </x:c>
      <x:c r="Q111" s="13" t="str">
        <x:v>등록 품목·규격과 일치</x:v>
      </x:c>
      <x:c r="R111" s="82" t="n">
        <x:v>10</x:v>
      </x:c>
      <x:c r="S111" s="83" t="n">
        <x:f>MAX(0,MIN(1,($B$15-I111+1)/(J111-I111+1)))</x:f>
        <x:v>0</x:v>
      </x:c>
      <x:c r="T111" s="87" t="n">
        <x:f>IF(ISNUMBER(O111),IF(R111&lt;=$B$15,O111,0),"미산정")</x:f>
        <x:v>4140</x:v>
      </x:c>
      <x:c r="U111" s="87" t="n">
        <x:f>IF(ISNUMBER(O111),MIN(T111,ROUND(O111*S111,0)),"미산정")</x:f>
        <x:v>0</x:v>
      </x:c>
      <x:c r="V111" s="87" t="n">
        <x:f>IF(ISNUMBER(O111),T111-U111,"미산정")</x:f>
        <x:v>4140</x:v>
      </x:c>
      <x:c r="W111" s="87" t="n">
        <x:f>IF(ISNUMBER(O111),O111-T111,"미산정")</x:f>
        <x:v>0</x:v>
      </x:c>
      <x:c r="X111" s="87" t="n">
        <x:f>IF(ISNUMBER(O111),O111-U111,"미산정")</x:f>
        <x:v>4140</x:v>
      </x:c>
    </x:row>
    <x:row r="112" ht="44" customHeight="1">
      <x:c r="A112" s="25" t="n">
        <x:v>102</x:v>
      </x:c>
      <x:c r="B112" s="25" t="str">
        <x:v>104동</x:v>
      </x:c>
      <x:c r="C112" s="6" t="str">
        <x:v>보·슬래브 철근배근</x:v>
      </x:c>
      <x:c r="D112" s="6" t="str">
        <x:v>RB-D25</x:v>
      </x:c>
      <x:c r="E112" s="6" t="str">
        <x:v>철근</x:v>
      </x:c>
      <x:c r="F112" s="6" t="str">
        <x:v>SD500 D25 / 부위별 공장 가공</x:v>
      </x:c>
      <x:c r="G112" s="6" t="str">
        <x:v>kg</x:v>
      </x:c>
      <x:c r="H112" s="18" t="n">
        <x:v>2770</x:v>
      </x:c>
      <x:c r="I112" s="27" t="n">
        <x:v>22</x:v>
      </x:c>
      <x:c r="J112" s="27" t="n">
        <x:v>24</x:v>
      </x:c>
      <x:c r="K112" s="27" t="n">
        <x:v>21</x:v>
      </x:c>
      <x:c r="L112" s="6" t="str">
        <x:v>철근</x:v>
      </x:c>
      <x:c r="M112" s="6" t="str">
        <x:v>D25</x:v>
      </x:c>
      <x:c r="N112" s="25" t="str">
        <x:v>반영</x:v>
      </x:c>
      <x:c r="O112" s="30" t="n">
        <x:f>IF(AND(N112="반영",ISNUMBER(H112)),H112,"미산정")</x:f>
        <x:v>2770</x:v>
      </x:c>
      <x:c r="P112" s="25" t="str">
        <x:v>미제공</x:v>
      </x:c>
      <x:c r="Q112" s="6" t="str">
        <x:v>등록 품목·규격과 일치</x:v>
      </x:c>
      <x:c r="R112" s="82" t="n">
        <x:v>10</x:v>
      </x:c>
      <x:c r="S112" s="84" t="n">
        <x:f>MAX(0,MIN(1,($B$15-I112+1)/(J112-I112+1)))</x:f>
        <x:v>0</x:v>
      </x:c>
      <x:c r="T112" s="88" t="n">
        <x:f>IF(ISNUMBER(O112),IF(R112&lt;=$B$15,O112,0),"미산정")</x:f>
        <x:v>2770</x:v>
      </x:c>
      <x:c r="U112" s="88" t="n">
        <x:f>IF(ISNUMBER(O112),MIN(T112,ROUND(O112*S112,0)),"미산정")</x:f>
        <x:v>0</x:v>
      </x:c>
      <x:c r="V112" s="88" t="n">
        <x:f>IF(ISNUMBER(O112),T112-U112,"미산정")</x:f>
        <x:v>2770</x:v>
      </x:c>
      <x:c r="W112" s="88" t="n">
        <x:f>IF(ISNUMBER(O112),O112-T112,"미산정")</x:f>
        <x:v>0</x:v>
      </x:c>
      <x:c r="X112" s="88" t="n">
        <x:f>IF(ISNUMBER(O112),O112-U112,"미산정")</x:f>
        <x:v>2770</x:v>
      </x:c>
    </x:row>
    <x:row r="113" ht="44" customHeight="1">
      <x:c r="A113" s="24" t="n">
        <x:v>103</x:v>
      </x:c>
      <x:c r="B113" s="24" t="str">
        <x:v>105동</x:v>
      </x:c>
      <x:c r="C113" s="13" t="str">
        <x:v>벽체·기둥 철근배근</x:v>
      </x:c>
      <x:c r="D113" s="13" t="str">
        <x:v>RB-D10</x:v>
      </x:c>
      <x:c r="E113" s="13" t="str">
        <x:v>철근</x:v>
      </x:c>
      <x:c r="F113" s="13" t="str">
        <x:v>SD500 D10 / 부위별 공장 가공</x:v>
      </x:c>
      <x:c r="G113" s="13" t="str">
        <x:v>kg</x:v>
      </x:c>
      <x:c r="H113" s="17" t="n">
        <x:v>2000</x:v>
      </x:c>
      <x:c r="I113" s="26" t="n">
        <x:v>8</x:v>
      </x:c>
      <x:c r="J113" s="26" t="n">
        <x:v>12</x:v>
      </x:c>
      <x:c r="K113" s="26" t="n">
        <x:v>7</x:v>
      </x:c>
      <x:c r="L113" s="13" t="str">
        <x:v>철근</x:v>
      </x:c>
      <x:c r="M113" s="13" t="str">
        <x:v>D10</x:v>
      </x:c>
      <x:c r="N113" s="24" t="str">
        <x:v>반영</x:v>
      </x:c>
      <x:c r="O113" s="29" t="n">
        <x:f>IF(AND(N113="반영",ISNUMBER(H113)),H113,"미산정")</x:f>
        <x:v>2000</x:v>
      </x:c>
      <x:c r="P113" s="24" t="str">
        <x:v>미제공</x:v>
      </x:c>
      <x:c r="Q113" s="13" t="str">
        <x:v>등록 품목·규격과 일치</x:v>
      </x:c>
      <x:c r="R113" s="81" t="n">
        <x:f>K113</x:f>
        <x:v>7</x:v>
      </x:c>
      <x:c r="S113" s="83" t="n">
        <x:f>MAX(0,MIN(1,($B$15-I113+1)/(J113-I113+1)))</x:f>
        <x:v>0.6</x:v>
      </x:c>
      <x:c r="T113" s="87" t="n">
        <x:f>IF(ISNUMBER(O113),IF(R113&lt;=$B$15,O113,0),"미산정")</x:f>
        <x:v>2000</x:v>
      </x:c>
      <x:c r="U113" s="87" t="n">
        <x:f>IF(ISNUMBER(O113),MIN(T113,ROUND(O113*S113,0)),"미산정")</x:f>
        <x:v>1200</x:v>
      </x:c>
      <x:c r="V113" s="87" t="n">
        <x:f>IF(ISNUMBER(O113),T113-U113,"미산정")</x:f>
        <x:v>800</x:v>
      </x:c>
      <x:c r="W113" s="87" t="n">
        <x:f>IF(ISNUMBER(O113),O113-T113,"미산정")</x:f>
        <x:v>0</x:v>
      </x:c>
      <x:c r="X113" s="87" t="n">
        <x:f>IF(ISNUMBER(O113),O113-U113,"미산정")</x:f>
        <x:v>800</x:v>
      </x:c>
    </x:row>
    <x:row r="114" ht="44" customHeight="1">
      <x:c r="A114" s="25" t="n">
        <x:v>104</x:v>
      </x:c>
      <x:c r="B114" s="25" t="str">
        <x:v>105동</x:v>
      </x:c>
      <x:c r="C114" s="6" t="str">
        <x:v>벽체·기둥 철근배근</x:v>
      </x:c>
      <x:c r="D114" s="6" t="str">
        <x:v>RB-D13</x:v>
      </x:c>
      <x:c r="E114" s="6" t="str">
        <x:v>철근</x:v>
      </x:c>
      <x:c r="F114" s="6" t="str">
        <x:v>SD500 D13 / 부위별 공장 가공</x:v>
      </x:c>
      <x:c r="G114" s="6" t="str">
        <x:v>kg</x:v>
      </x:c>
      <x:c r="H114" s="18" t="n">
        <x:v>2990</x:v>
      </x:c>
      <x:c r="I114" s="27" t="n">
        <x:v>8</x:v>
      </x:c>
      <x:c r="J114" s="27" t="n">
        <x:v>12</x:v>
      </x:c>
      <x:c r="K114" s="27" t="n">
        <x:v>7</x:v>
      </x:c>
      <x:c r="L114" s="6" t="str">
        <x:v>철근</x:v>
      </x:c>
      <x:c r="M114" s="6" t="str">
        <x:v>D13</x:v>
      </x:c>
      <x:c r="N114" s="25" t="str">
        <x:v>반영</x:v>
      </x:c>
      <x:c r="O114" s="30" t="n">
        <x:f>IF(AND(N114="반영",ISNUMBER(H114)),H114,"미산정")</x:f>
        <x:v>2990</x:v>
      </x:c>
      <x:c r="P114" s="25" t="str">
        <x:v>미제공</x:v>
      </x:c>
      <x:c r="Q114" s="6" t="str">
        <x:v>등록 품목·규격과 일치</x:v>
      </x:c>
      <x:c r="R114" s="81" t="n">
        <x:f>K114</x:f>
        <x:v>7</x:v>
      </x:c>
      <x:c r="S114" s="84" t="n">
        <x:f>MAX(0,MIN(1,($B$15-I114+1)/(J114-I114+1)))</x:f>
        <x:v>0.6</x:v>
      </x:c>
      <x:c r="T114" s="88" t="n">
        <x:f>IF(ISNUMBER(O114),IF(R114&lt;=$B$15,O114,0),"미산정")</x:f>
        <x:v>2990</x:v>
      </x:c>
      <x:c r="U114" s="88" t="n">
        <x:f>IF(ISNUMBER(O114),MIN(T114,ROUND(O114*S114,0)),"미산정")</x:f>
        <x:v>1794</x:v>
      </x:c>
      <x:c r="V114" s="88" t="n">
        <x:f>IF(ISNUMBER(O114),T114-U114,"미산정")</x:f>
        <x:v>1196</x:v>
      </x:c>
      <x:c r="W114" s="88" t="n">
        <x:f>IF(ISNUMBER(O114),O114-T114,"미산정")</x:f>
        <x:v>0</x:v>
      </x:c>
      <x:c r="X114" s="88" t="n">
        <x:f>IF(ISNUMBER(O114),O114-U114,"미산정")</x:f>
        <x:v>1196</x:v>
      </x:c>
    </x:row>
    <x:row r="115" ht="44" customHeight="1">
      <x:c r="A115" s="24" t="n">
        <x:v>105</x:v>
      </x:c>
      <x:c r="B115" s="24" t="str">
        <x:v>105동</x:v>
      </x:c>
      <x:c r="C115" s="13" t="str">
        <x:v>벽체·기둥 철근배근</x:v>
      </x:c>
      <x:c r="D115" s="13" t="str">
        <x:v>RB-D16</x:v>
      </x:c>
      <x:c r="E115" s="13" t="str">
        <x:v>철근</x:v>
      </x:c>
      <x:c r="F115" s="13" t="str">
        <x:v>SD500 D16 / 부위별 공장 가공</x:v>
      </x:c>
      <x:c r="G115" s="13" t="str">
        <x:v>kg</x:v>
      </x:c>
      <x:c r="H115" s="17" t="n">
        <x:v>3740</x:v>
      </x:c>
      <x:c r="I115" s="26" t="n">
        <x:v>8</x:v>
      </x:c>
      <x:c r="J115" s="26" t="n">
        <x:v>12</x:v>
      </x:c>
      <x:c r="K115" s="26" t="n">
        <x:v>7</x:v>
      </x:c>
      <x:c r="L115" s="13" t="str">
        <x:v>철근</x:v>
      </x:c>
      <x:c r="M115" s="13" t="str">
        <x:v>D16</x:v>
      </x:c>
      <x:c r="N115" s="24" t="str">
        <x:v>반영</x:v>
      </x:c>
      <x:c r="O115" s="29" t="n">
        <x:f>IF(AND(N115="반영",ISNUMBER(H115)),H115,"미산정")</x:f>
        <x:v>3740</x:v>
      </x:c>
      <x:c r="P115" s="24" t="str">
        <x:v>미제공</x:v>
      </x:c>
      <x:c r="Q115" s="13" t="str">
        <x:v>등록 품목·규격과 일치</x:v>
      </x:c>
      <x:c r="R115" s="81" t="n">
        <x:f>K115</x:f>
        <x:v>7</x:v>
      </x:c>
      <x:c r="S115" s="83" t="n">
        <x:f>MAX(0,MIN(1,($B$15-I115+1)/(J115-I115+1)))</x:f>
        <x:v>0.6</x:v>
      </x:c>
      <x:c r="T115" s="87" t="n">
        <x:f>IF(ISNUMBER(O115),IF(R115&lt;=$B$15,O115,0),"미산정")</x:f>
        <x:v>3740</x:v>
      </x:c>
      <x:c r="U115" s="87" t="n">
        <x:f>IF(ISNUMBER(O115),MIN(T115,ROUND(O115*S115,0)),"미산정")</x:f>
        <x:v>2244</x:v>
      </x:c>
      <x:c r="V115" s="87" t="n">
        <x:f>IF(ISNUMBER(O115),T115-U115,"미산정")</x:f>
        <x:v>1496</x:v>
      </x:c>
      <x:c r="W115" s="87" t="n">
        <x:f>IF(ISNUMBER(O115),O115-T115,"미산정")</x:f>
        <x:v>0</x:v>
      </x:c>
      <x:c r="X115" s="87" t="n">
        <x:f>IF(ISNUMBER(O115),O115-U115,"미산정")</x:f>
        <x:v>1496</x:v>
      </x:c>
    </x:row>
    <x:row r="116" ht="44" customHeight="1">
      <x:c r="A116" s="25" t="n">
        <x:v>106</x:v>
      </x:c>
      <x:c r="B116" s="25" t="str">
        <x:v>105동</x:v>
      </x:c>
      <x:c r="C116" s="6" t="str">
        <x:v>벽체·기둥 철근배근</x:v>
      </x:c>
      <x:c r="D116" s="6" t="str">
        <x:v>RB-D19</x:v>
      </x:c>
      <x:c r="E116" s="6" t="str">
        <x:v>철근</x:v>
      </x:c>
      <x:c r="F116" s="6" t="str">
        <x:v>SD500 D19 / 부위별 공장 가공</x:v>
      </x:c>
      <x:c r="G116" s="6" t="str">
        <x:v>kg</x:v>
      </x:c>
      <x:c r="H116" s="18" t="n">
        <x:v>3740</x:v>
      </x:c>
      <x:c r="I116" s="27" t="n">
        <x:v>8</x:v>
      </x:c>
      <x:c r="J116" s="27" t="n">
        <x:v>12</x:v>
      </x:c>
      <x:c r="K116" s="27" t="n">
        <x:v>7</x:v>
      </x:c>
      <x:c r="L116" s="6" t="str">
        <x:v>철근</x:v>
      </x:c>
      <x:c r="M116" s="6" t="str">
        <x:v>D19</x:v>
      </x:c>
      <x:c r="N116" s="25" t="str">
        <x:v>반영</x:v>
      </x:c>
      <x:c r="O116" s="30" t="n">
        <x:f>IF(AND(N116="반영",ISNUMBER(H116)),H116,"미산정")</x:f>
        <x:v>3740</x:v>
      </x:c>
      <x:c r="P116" s="25" t="str">
        <x:v>미제공</x:v>
      </x:c>
      <x:c r="Q116" s="6" t="str">
        <x:v>등록 품목·규격과 일치</x:v>
      </x:c>
      <x:c r="R116" s="81" t="n">
        <x:f>K116</x:f>
        <x:v>7</x:v>
      </x:c>
      <x:c r="S116" s="84" t="n">
        <x:f>MAX(0,MIN(1,($B$15-I116+1)/(J116-I116+1)))</x:f>
        <x:v>0.6</x:v>
      </x:c>
      <x:c r="T116" s="88" t="n">
        <x:f>IF(ISNUMBER(O116),IF(R116&lt;=$B$15,O116,0),"미산정")</x:f>
        <x:v>3740</x:v>
      </x:c>
      <x:c r="U116" s="88" t="n">
        <x:f>IF(ISNUMBER(O116),MIN(T116,ROUND(O116*S116,0)),"미산정")</x:f>
        <x:v>2244</x:v>
      </x:c>
      <x:c r="V116" s="88" t="n">
        <x:f>IF(ISNUMBER(O116),T116-U116,"미산정")</x:f>
        <x:v>1496</x:v>
      </x:c>
      <x:c r="W116" s="88" t="n">
        <x:f>IF(ISNUMBER(O116),O116-T116,"미산정")</x:f>
        <x:v>0</x:v>
      </x:c>
      <x:c r="X116" s="88" t="n">
        <x:f>IF(ISNUMBER(O116),O116-U116,"미산정")</x:f>
        <x:v>1496</x:v>
      </x:c>
    </x:row>
    <x:row r="117" ht="44" customHeight="1">
      <x:c r="A117" s="24" t="n">
        <x:v>107</x:v>
      </x:c>
      <x:c r="B117" s="24" t="str">
        <x:v>105동</x:v>
      </x:c>
      <x:c r="C117" s="13" t="str">
        <x:v>벽체·기둥 철근배근</x:v>
      </x:c>
      <x:c r="D117" s="13" t="str">
        <x:v>RB-D22</x:v>
      </x:c>
      <x:c r="E117" s="13" t="str">
        <x:v>철근</x:v>
      </x:c>
      <x:c r="F117" s="13" t="str">
        <x:v>SD500 D22 / 부위별 공장 가공</x:v>
      </x:c>
      <x:c r="G117" s="13" t="str">
        <x:v>kg</x:v>
      </x:c>
      <x:c r="H117" s="17" t="n">
        <x:v>4980</x:v>
      </x:c>
      <x:c r="I117" s="26" t="n">
        <x:v>8</x:v>
      </x:c>
      <x:c r="J117" s="26" t="n">
        <x:v>12</x:v>
      </x:c>
      <x:c r="K117" s="26" t="n">
        <x:v>7</x:v>
      </x:c>
      <x:c r="L117" s="13" t="str">
        <x:v>철근</x:v>
      </x:c>
      <x:c r="M117" s="13" t="str">
        <x:v>D22</x:v>
      </x:c>
      <x:c r="N117" s="24" t="str">
        <x:v>반영</x:v>
      </x:c>
      <x:c r="O117" s="29" t="n">
        <x:f>IF(AND(N117="반영",ISNUMBER(H117)),H117,"미산정")</x:f>
        <x:v>4980</x:v>
      </x:c>
      <x:c r="P117" s="24" t="str">
        <x:v>미제공</x:v>
      </x:c>
      <x:c r="Q117" s="13" t="str">
        <x:v>등록 품목·규격과 일치</x:v>
      </x:c>
      <x:c r="R117" s="81" t="n">
        <x:f>K117</x:f>
        <x:v>7</x:v>
      </x:c>
      <x:c r="S117" s="83" t="n">
        <x:f>MAX(0,MIN(1,($B$15-I117+1)/(J117-I117+1)))</x:f>
        <x:v>0.6</x:v>
      </x:c>
      <x:c r="T117" s="87" t="n">
        <x:f>IF(ISNUMBER(O117),IF(R117&lt;=$B$15,O117,0),"미산정")</x:f>
        <x:v>4980</x:v>
      </x:c>
      <x:c r="U117" s="87" t="n">
        <x:f>IF(ISNUMBER(O117),MIN(T117,ROUND(O117*S117,0)),"미산정")</x:f>
        <x:v>2988</x:v>
      </x:c>
      <x:c r="V117" s="87" t="n">
        <x:f>IF(ISNUMBER(O117),T117-U117,"미산정")</x:f>
        <x:v>1992</x:v>
      </x:c>
      <x:c r="W117" s="87" t="n">
        <x:f>IF(ISNUMBER(O117),O117-T117,"미산정")</x:f>
        <x:v>0</x:v>
      </x:c>
      <x:c r="X117" s="87" t="n">
        <x:f>IF(ISNUMBER(O117),O117-U117,"미산정")</x:f>
        <x:v>1992</x:v>
      </x:c>
    </x:row>
    <x:row r="118" ht="44" customHeight="1">
      <x:c r="A118" s="25" t="n">
        <x:v>108</x:v>
      </x:c>
      <x:c r="B118" s="25" t="str">
        <x:v>105동</x:v>
      </x:c>
      <x:c r="C118" s="6" t="str">
        <x:v>벽체·기둥 철근배근</x:v>
      </x:c>
      <x:c r="D118" s="6" t="str">
        <x:v>RB-D25</x:v>
      </x:c>
      <x:c r="E118" s="6" t="str">
        <x:v>철근</x:v>
      </x:c>
      <x:c r="F118" s="6" t="str">
        <x:v>SD500 D25 / 부위별 공장 가공</x:v>
      </x:c>
      <x:c r="G118" s="6" t="str">
        <x:v>kg</x:v>
      </x:c>
      <x:c r="H118" s="18" t="n">
        <x:v>7470</x:v>
      </x:c>
      <x:c r="I118" s="27" t="n">
        <x:v>8</x:v>
      </x:c>
      <x:c r="J118" s="27" t="n">
        <x:v>12</x:v>
      </x:c>
      <x:c r="K118" s="27" t="n">
        <x:v>7</x:v>
      </x:c>
      <x:c r="L118" s="6" t="str">
        <x:v>철근</x:v>
      </x:c>
      <x:c r="M118" s="6" t="str">
        <x:v>D25</x:v>
      </x:c>
      <x:c r="N118" s="25" t="str">
        <x:v>반영</x:v>
      </x:c>
      <x:c r="O118" s="30" t="n">
        <x:f>IF(AND(N118="반영",ISNUMBER(H118)),H118,"미산정")</x:f>
        <x:v>7470</x:v>
      </x:c>
      <x:c r="P118" s="25" t="str">
        <x:v>미제공</x:v>
      </x:c>
      <x:c r="Q118" s="6" t="str">
        <x:v>등록 품목·규격과 일치</x:v>
      </x:c>
      <x:c r="R118" s="81" t="n">
        <x:f>K118</x:f>
        <x:v>7</x:v>
      </x:c>
      <x:c r="S118" s="84" t="n">
        <x:f>MAX(0,MIN(1,($B$15-I118+1)/(J118-I118+1)))</x:f>
        <x:v>0.6</x:v>
      </x:c>
      <x:c r="T118" s="88" t="n">
        <x:f>IF(ISNUMBER(O118),IF(R118&lt;=$B$15,O118,0),"미산정")</x:f>
        <x:v>7470</x:v>
      </x:c>
      <x:c r="U118" s="88" t="n">
        <x:f>IF(ISNUMBER(O118),MIN(T118,ROUND(O118*S118,0)),"미산정")</x:f>
        <x:v>4482</x:v>
      </x:c>
      <x:c r="V118" s="88" t="n">
        <x:f>IF(ISNUMBER(O118),T118-U118,"미산정")</x:f>
        <x:v>2988</x:v>
      </x:c>
      <x:c r="W118" s="88" t="n">
        <x:f>IF(ISNUMBER(O118),O118-T118,"미산정")</x:f>
        <x:v>0</x:v>
      </x:c>
      <x:c r="X118" s="88" t="n">
        <x:f>IF(ISNUMBER(O118),O118-U118,"미산정")</x:f>
        <x:v>2988</x:v>
      </x:c>
    </x:row>
    <x:row r="119" ht="44" customHeight="1">
      <x:c r="A119" s="24" t="n">
        <x:v>109</x:v>
      </x:c>
      <x:c r="B119" s="24" t="str">
        <x:v>105동</x:v>
      </x:c>
      <x:c r="C119" s="13" t="str">
        <x:v>수직부 거푸집 설치</x:v>
      </x:c>
      <x:c r="D119" s="13" t="str">
        <x:v>EF-5012</x:v>
      </x:c>
      <x:c r="E119" s="13" t="str">
        <x:v>유로폼</x:v>
      </x:c>
      <x:c r="F119" s="13" t="str">
        <x:v>500×1,200mm</x:v>
      </x:c>
      <x:c r="G119" s="13" t="str">
        <x:v>장</x:v>
      </x:c>
      <x:c r="H119" s="17" t="n">
        <x:v>999</x:v>
      </x:c>
      <x:c r="I119" s="26" t="n">
        <x:v>13</x:v>
      </x:c>
      <x:c r="J119" s="26" t="n">
        <x:v>19</x:v>
      </x:c>
      <x:c r="K119" s="26" t="n">
        <x:v>12</x:v>
      </x:c>
      <x:c r="L119" s="13" t="str">
        <x:v>유로폼</x:v>
      </x:c>
      <x:c r="M119" s="13" t="str">
        <x:v>500x1200</x:v>
      </x:c>
      <x:c r="N119" s="24" t="str">
        <x:v>반영</x:v>
      </x:c>
      <x:c r="O119" s="29" t="n">
        <x:f>IF(AND(N119="반영",ISNUMBER(H119)),H119,"미산정")</x:f>
        <x:v>999</x:v>
      </x:c>
      <x:c r="P119" s="24" t="str">
        <x:v>해당 없음</x:v>
      </x:c>
      <x:c r="Q119" s="13" t="str">
        <x:v>등록 품목·규격과 일치</x:v>
      </x:c>
      <x:c r="R119" s="82" t="n">
        <x:v>10</x:v>
      </x:c>
      <x:c r="S119" s="83" t="n">
        <x:f>MAX(0,MIN(1,($B$15-I119+1)/(J119-I119+1)))</x:f>
        <x:v>0</x:v>
      </x:c>
      <x:c r="T119" s="87" t="n">
        <x:f>IF(ISNUMBER(O119),IF(R119&lt;=$B$15,O119,0),"미산정")</x:f>
        <x:v>999</x:v>
      </x:c>
      <x:c r="U119" s="87" t="n">
        <x:f>IF(ISNUMBER(O119),MIN(T119,ROUND(O119*S119,0)),"미산정")</x:f>
        <x:v>0</x:v>
      </x:c>
      <x:c r="V119" s="87" t="n">
        <x:f>IF(ISNUMBER(O119),T119-U119,"미산정")</x:f>
        <x:v>999</x:v>
      </x:c>
      <x:c r="W119" s="87" t="n">
        <x:f>IF(ISNUMBER(O119),O119-T119,"미산정")</x:f>
        <x:v>0</x:v>
      </x:c>
      <x:c r="X119" s="87" t="n">
        <x:f>IF(ISNUMBER(O119),O119-U119,"미산정")</x:f>
        <x:v>999</x:v>
      </x:c>
    </x:row>
    <x:row r="120" ht="44" customHeight="1">
      <x:c r="A120" s="25" t="n">
        <x:v>110</x:v>
      </x:c>
      <x:c r="B120" s="25" t="str">
        <x:v>105동</x:v>
      </x:c>
      <x:c r="C120" s="6" t="str">
        <x:v>수직부 거푸집 설치</x:v>
      </x:c>
      <x:c r="D120" s="6" t="str">
        <x:v>EF-6012</x:v>
      </x:c>
      <x:c r="E120" s="6" t="str">
        <x:v>유로폼</x:v>
      </x:c>
      <x:c r="F120" s="6" t="str">
        <x:v>600×1,200mm</x:v>
      </x:c>
      <x:c r="G120" s="6" t="str">
        <x:v>장</x:v>
      </x:c>
      <x:c r="H120" s="18" t="n">
        <x:v>347</x:v>
      </x:c>
      <x:c r="I120" s="27" t="n">
        <x:v>13</x:v>
      </x:c>
      <x:c r="J120" s="27" t="n">
        <x:v>19</x:v>
      </x:c>
      <x:c r="K120" s="27" t="n">
        <x:v>12</x:v>
      </x:c>
      <x:c r="L120" s="6" t="str">
        <x:v>유로폼</x:v>
      </x:c>
      <x:c r="M120" s="6" t="str">
        <x:v>600x1200</x:v>
      </x:c>
      <x:c r="N120" s="25" t="str">
        <x:v>반영</x:v>
      </x:c>
      <x:c r="O120" s="30" t="n">
        <x:f>IF(AND(N120="반영",ISNUMBER(H120)),H120,"미산정")</x:f>
        <x:v>347</x:v>
      </x:c>
      <x:c r="P120" s="25" t="str">
        <x:v>해당 없음</x:v>
      </x:c>
      <x:c r="Q120" s="6" t="str">
        <x:v>등록 품목·규격과 일치</x:v>
      </x:c>
      <x:c r="R120" s="82" t="n">
        <x:v>10</x:v>
      </x:c>
      <x:c r="S120" s="84" t="n">
        <x:f>MAX(0,MIN(1,($B$15-I120+1)/(J120-I120+1)))</x:f>
        <x:v>0</x:v>
      </x:c>
      <x:c r="T120" s="88" t="n">
        <x:f>IF(ISNUMBER(O120),IF(R120&lt;=$B$15,O120,0),"미산정")</x:f>
        <x:v>347</x:v>
      </x:c>
      <x:c r="U120" s="88" t="n">
        <x:f>IF(ISNUMBER(O120),MIN(T120,ROUND(O120*S120,0)),"미산정")</x:f>
        <x:v>0</x:v>
      </x:c>
      <x:c r="V120" s="88" t="n">
        <x:f>IF(ISNUMBER(O120),T120-U120,"미산정")</x:f>
        <x:v>347</x:v>
      </x:c>
      <x:c r="W120" s="88" t="n">
        <x:f>IF(ISNUMBER(O120),O120-T120,"미산정")</x:f>
        <x:v>0</x:v>
      </x:c>
      <x:c r="X120" s="88" t="n">
        <x:f>IF(ISNUMBER(O120),O120-U120,"미산정")</x:f>
        <x:v>347</x:v>
      </x:c>
    </x:row>
    <x:row r="121" ht="44" customHeight="1">
      <x:c r="A121" s="24" t="n">
        <x:v>111</x:v>
      </x:c>
      <x:c r="B121" s="24" t="str">
        <x:v>105동</x:v>
      </x:c>
      <x:c r="C121" s="13" t="str">
        <x:v>수직부 거푸집 설치</x:v>
      </x:c>
      <x:c r="D121" s="13" t="str">
        <x:v>EF-3012</x:v>
      </x:c>
      <x:c r="E121" s="13" t="str">
        <x:v>유로폼</x:v>
      </x:c>
      <x:c r="F121" s="13" t="str">
        <x:v>300×1,200mm</x:v>
      </x:c>
      <x:c r="G121" s="13" t="str">
        <x:v>장</x:v>
      </x:c>
      <x:c r="H121" s="17" t="n">
        <x:v>278</x:v>
      </x:c>
      <x:c r="I121" s="26" t="n">
        <x:v>13</x:v>
      </x:c>
      <x:c r="J121" s="26" t="n">
        <x:v>19</x:v>
      </x:c>
      <x:c r="K121" s="26" t="n">
        <x:v>12</x:v>
      </x:c>
      <x:c r="L121" s="13" t="str">
        <x:v>유로폼</x:v>
      </x:c>
      <x:c r="M121" s="13" t="str">
        <x:v>300x1200</x:v>
      </x:c>
      <x:c r="N121" s="24" t="str">
        <x:v>반영</x:v>
      </x:c>
      <x:c r="O121" s="29" t="n">
        <x:f>IF(AND(N121="반영",ISNUMBER(H121)),H121,"미산정")</x:f>
        <x:v>278</x:v>
      </x:c>
      <x:c r="P121" s="24" t="str">
        <x:v>해당 없음</x:v>
      </x:c>
      <x:c r="Q121" s="13" t="str">
        <x:v>등록 품목·규격과 일치</x:v>
      </x:c>
      <x:c r="R121" s="82" t="n">
        <x:v>10</x:v>
      </x:c>
      <x:c r="S121" s="83" t="n">
        <x:f>MAX(0,MIN(1,($B$15-I121+1)/(J121-I121+1)))</x:f>
        <x:v>0</x:v>
      </x:c>
      <x:c r="T121" s="87" t="n">
        <x:f>IF(ISNUMBER(O121),IF(R121&lt;=$B$15,O121,0),"미산정")</x:f>
        <x:v>278</x:v>
      </x:c>
      <x:c r="U121" s="87" t="n">
        <x:f>IF(ISNUMBER(O121),MIN(T121,ROUND(O121*S121,0)),"미산정")</x:f>
        <x:v>0</x:v>
      </x:c>
      <x:c r="V121" s="87" t="n">
        <x:f>IF(ISNUMBER(O121),T121-U121,"미산정")</x:f>
        <x:v>278</x:v>
      </x:c>
      <x:c r="W121" s="87" t="n">
        <x:f>IF(ISNUMBER(O121),O121-T121,"미산정")</x:f>
        <x:v>0</x:v>
      </x:c>
      <x:c r="X121" s="87" t="n">
        <x:f>IF(ISNUMBER(O121),O121-U121,"미산정")</x:f>
        <x:v>278</x:v>
      </x:c>
    </x:row>
    <x:row r="122" ht="44" customHeight="1">
      <x:c r="A122" s="25" t="n">
        <x:v>112</x:v>
      </x:c>
      <x:c r="B122" s="25" t="str">
        <x:v>105동</x:v>
      </x:c>
      <x:c r="C122" s="6" t="str">
        <x:v>수직부 거푸집 설치</x:v>
      </x:c>
      <x:c r="D122" s="6" t="str">
        <x:v>EF-5006</x:v>
      </x:c>
      <x:c r="E122" s="6" t="str">
        <x:v>유로폼</x:v>
      </x:c>
      <x:c r="F122" s="6" t="str">
        <x:v>500×600mm</x:v>
      </x:c>
      <x:c r="G122" s="6" t="str">
        <x:v>장</x:v>
      </x:c>
      <x:c r="H122" s="18" t="n">
        <x:v>167</x:v>
      </x:c>
      <x:c r="I122" s="27" t="n">
        <x:v>13</x:v>
      </x:c>
      <x:c r="J122" s="27" t="n">
        <x:v>19</x:v>
      </x:c>
      <x:c r="K122" s="27" t="n">
        <x:v>12</x:v>
      </x:c>
      <x:c r="L122" s="6" t="str">
        <x:v>미등록</x:v>
      </x:c>
      <x:c r="M122" s="6" t="str">
        <x:v>미산정</x:v>
      </x:c>
      <x:c r="N122" s="28" t="str">
        <x:v>미산정</x:v>
      </x:c>
      <x:c r="O122" s="31" t="str">
        <x:f>IF(AND(N122="반영",ISNUMBER(H122)),H122,"미산정")</x:f>
        <x:v>미산정</x:v>
      </x:c>
      <x:c r="P122" s="28" t="str">
        <x:v>해당 없음</x:v>
      </x:c>
      <x:c r="Q122" s="14" t="str">
        <x:v>유로폼 500×600은 현재 웹 등록 규격에 없음</x:v>
      </x:c>
      <x:c r="R122" s="81" t="n">
        <x:f>K122</x:f>
        <x:v>12</x:v>
      </x:c>
      <x:c r="S122" s="84" t="n">
        <x:f>MAX(0,MIN(1,($B$15-I122+1)/(J122-I122+1)))</x:f>
        <x:v>0</x:v>
      </x:c>
      <x:c r="T122" s="88" t="str">
        <x:f>IF(ISNUMBER(O122),IF(R122&lt;=$B$15,O122,0),"미산정")</x:f>
        <x:v>미산정</x:v>
      </x:c>
      <x:c r="U122" s="88" t="str">
        <x:f>IF(ISNUMBER(O122),MIN(T122,ROUND(O122*S122,0)),"미산정")</x:f>
        <x:v>미산정</x:v>
      </x:c>
      <x:c r="V122" s="88" t="str">
        <x:f>IF(ISNUMBER(O122),T122-U122,"미산정")</x:f>
        <x:v>미산정</x:v>
      </x:c>
      <x:c r="W122" s="88" t="str">
        <x:f>IF(ISNUMBER(O122),O122-T122,"미산정")</x:f>
        <x:v>미산정</x:v>
      </x:c>
      <x:c r="X122" s="88" t="str">
        <x:f>IF(ISNUMBER(O122),O122-U122,"미산정")</x:f>
        <x:v>미산정</x:v>
      </x:c>
    </x:row>
    <x:row r="123" ht="44" customHeight="1">
      <x:c r="A123" s="24" t="n">
        <x:v>113</x:v>
      </x:c>
      <x:c r="B123" s="24" t="str">
        <x:v>105동</x:v>
      </x:c>
      <x:c r="C123" s="13" t="str">
        <x:v>수직부 거푸집 설치</x:v>
      </x:c>
      <x:c r="D123" s="13" t="str">
        <x:v>PW-1224</x:v>
      </x:c>
      <x:c r="E123" s="13" t="str">
        <x:v>코팅합판</x:v>
      </x:c>
      <x:c r="F123" s="13" t="str">
        <x:v>1,220×2,440×12mm</x:v>
      </x:c>
      <x:c r="G123" s="13" t="str">
        <x:v>장</x:v>
      </x:c>
      <x:c r="H123" s="17" t="n">
        <x:v>16</x:v>
      </x:c>
      <x:c r="I123" s="26" t="n">
        <x:v>13</x:v>
      </x:c>
      <x:c r="J123" s="26" t="n">
        <x:v>19</x:v>
      </x:c>
      <x:c r="K123" s="26" t="n">
        <x:v>12</x:v>
      </x:c>
      <x:c r="L123" s="13" t="str">
        <x:v>미등록</x:v>
      </x:c>
      <x:c r="M123" s="13" t="str">
        <x:v>미산정</x:v>
      </x:c>
      <x:c r="N123" s="28" t="str">
        <x:v>미산정</x:v>
      </x:c>
      <x:c r="O123" s="31" t="str">
        <x:f>IF(AND(N123="반영",ISNUMBER(H123)),H123,"미산정")</x:f>
        <x:v>미산정</x:v>
      </x:c>
      <x:c r="P123" s="28" t="str">
        <x:v>해당 없음</x:v>
      </x:c>
      <x:c r="Q123" s="14" t="str">
        <x:v>현재 웹 등록 품목에 없음. 다른 품목으로 대체하지 않음</x:v>
      </x:c>
      <x:c r="R123" s="81" t="n">
        <x:f>K123</x:f>
        <x:v>12</x:v>
      </x:c>
      <x:c r="S123" s="83" t="n">
        <x:f>MAX(0,MIN(1,($B$15-I123+1)/(J123-I123+1)))</x:f>
        <x:v>0</x:v>
      </x:c>
      <x:c r="T123" s="87" t="str">
        <x:f>IF(ISNUMBER(O123),IF(R123&lt;=$B$15,O123,0),"미산정")</x:f>
        <x:v>미산정</x:v>
      </x:c>
      <x:c r="U123" s="87" t="str">
        <x:f>IF(ISNUMBER(O123),MIN(T123,ROUND(O123*S123,0)),"미산정")</x:f>
        <x:v>미산정</x:v>
      </x:c>
      <x:c r="V123" s="87" t="str">
        <x:f>IF(ISNUMBER(O123),T123-U123,"미산정")</x:f>
        <x:v>미산정</x:v>
      </x:c>
      <x:c r="W123" s="87" t="str">
        <x:f>IF(ISNUMBER(O123),O123-T123,"미산정")</x:f>
        <x:v>미산정</x:v>
      </x:c>
      <x:c r="X123" s="87" t="str">
        <x:f>IF(ISNUMBER(O123),O123-U123,"미산정")</x:f>
        <x:v>미산정</x:v>
      </x:c>
    </x:row>
    <x:row r="124" ht="44" customHeight="1">
      <x:c r="A124" s="25" t="n">
        <x:v>114</x:v>
      </x:c>
      <x:c r="B124" s="25" t="str">
        <x:v>105동</x:v>
      </x:c>
      <x:c r="C124" s="6" t="str">
        <x:v>수직부 거푸집 설치</x:v>
      </x:c>
      <x:c r="D124" s="6" t="str">
        <x:v>IC-1012</x:v>
      </x:c>
      <x:c r="E124" s="6" t="str">
        <x:v>인코너</x:v>
      </x:c>
      <x:c r="F124" s="6" t="str">
        <x:v>100×100×1,200mm</x:v>
      </x:c>
      <x:c r="G124" s="6" t="str">
        <x:v>개</x:v>
      </x:c>
      <x:c r="H124" s="18" t="n">
        <x:v>80</x:v>
      </x:c>
      <x:c r="I124" s="27" t="n">
        <x:v>13</x:v>
      </x:c>
      <x:c r="J124" s="27" t="n">
        <x:v>19</x:v>
      </x:c>
      <x:c r="K124" s="27" t="n">
        <x:v>12</x:v>
      </x:c>
      <x:c r="L124" s="6" t="str">
        <x:v>미등록</x:v>
      </x:c>
      <x:c r="M124" s="6" t="str">
        <x:v>미산정</x:v>
      </x:c>
      <x:c r="N124" s="28" t="str">
        <x:v>미산정</x:v>
      </x:c>
      <x:c r="O124" s="31" t="str">
        <x:f>IF(AND(N124="반영",ISNUMBER(H124)),H124,"미산정")</x:f>
        <x:v>미산정</x:v>
      </x:c>
      <x:c r="P124" s="28" t="str">
        <x:v>해당 없음</x:v>
      </x:c>
      <x:c r="Q124" s="14" t="str">
        <x:v>현재 웹 등록 품목에 없음. 다른 품목으로 대체하지 않음</x:v>
      </x:c>
      <x:c r="R124" s="81" t="n">
        <x:f>K124</x:f>
        <x:v>12</x:v>
      </x:c>
      <x:c r="S124" s="84" t="n">
        <x:f>MAX(0,MIN(1,($B$15-I124+1)/(J124-I124+1)))</x:f>
        <x:v>0</x:v>
      </x:c>
      <x:c r="T124" s="88" t="str">
        <x:f>IF(ISNUMBER(O124),IF(R124&lt;=$B$15,O124,0),"미산정")</x:f>
        <x:v>미산정</x:v>
      </x:c>
      <x:c r="U124" s="88" t="str">
        <x:f>IF(ISNUMBER(O124),MIN(T124,ROUND(O124*S124,0)),"미산정")</x:f>
        <x:v>미산정</x:v>
      </x:c>
      <x:c r="V124" s="88" t="str">
        <x:f>IF(ISNUMBER(O124),T124-U124,"미산정")</x:f>
        <x:v>미산정</x:v>
      </x:c>
      <x:c r="W124" s="88" t="str">
        <x:f>IF(ISNUMBER(O124),O124-T124,"미산정")</x:f>
        <x:v>미산정</x:v>
      </x:c>
      <x:c r="X124" s="88" t="str">
        <x:f>IF(ISNUMBER(O124),O124-U124,"미산정")</x:f>
        <x:v>미산정</x:v>
      </x:c>
    </x:row>
    <x:row r="125" ht="44" customHeight="1">
      <x:c r="A125" s="24" t="n">
        <x:v>115</x:v>
      </x:c>
      <x:c r="B125" s="24" t="str">
        <x:v>105동</x:v>
      </x:c>
      <x:c r="C125" s="13" t="str">
        <x:v>수직부 거푸집 설치</x:v>
      </x:c>
      <x:c r="D125" s="13" t="str">
        <x:v>OC-12</x:v>
      </x:c>
      <x:c r="E125" s="13" t="str">
        <x:v>아웃코너</x:v>
      </x:c>
      <x:c r="F125" s="13" t="str">
        <x:v>길이 1,200mm</x:v>
      </x:c>
      <x:c r="G125" s="13" t="str">
        <x:v>개</x:v>
      </x:c>
      <x:c r="H125" s="17" t="n">
        <x:v>400</x:v>
      </x:c>
      <x:c r="I125" s="26" t="n">
        <x:v>13</x:v>
      </x:c>
      <x:c r="J125" s="26" t="n">
        <x:v>19</x:v>
      </x:c>
      <x:c r="K125" s="26" t="n">
        <x:v>12</x:v>
      </x:c>
      <x:c r="L125" s="13" t="str">
        <x:v>미등록</x:v>
      </x:c>
      <x:c r="M125" s="13" t="str">
        <x:v>미산정</x:v>
      </x:c>
      <x:c r="N125" s="28" t="str">
        <x:v>미산정</x:v>
      </x:c>
      <x:c r="O125" s="31" t="str">
        <x:f>IF(AND(N125="반영",ISNUMBER(H125)),H125,"미산정")</x:f>
        <x:v>미산정</x:v>
      </x:c>
      <x:c r="P125" s="28" t="str">
        <x:v>해당 없음</x:v>
      </x:c>
      <x:c r="Q125" s="14" t="str">
        <x:v>현재 웹 등록 품목에 없음. 다른 품목으로 대체하지 않음</x:v>
      </x:c>
      <x:c r="R125" s="81" t="n">
        <x:f>K125</x:f>
        <x:v>12</x:v>
      </x:c>
      <x:c r="S125" s="83" t="n">
        <x:f>MAX(0,MIN(1,($B$15-I125+1)/(J125-I125+1)))</x:f>
        <x:v>0</x:v>
      </x:c>
      <x:c r="T125" s="87" t="str">
        <x:f>IF(ISNUMBER(O125),IF(R125&lt;=$B$15,O125,0),"미산정")</x:f>
        <x:v>미산정</x:v>
      </x:c>
      <x:c r="U125" s="87" t="str">
        <x:f>IF(ISNUMBER(O125),MIN(T125,ROUND(O125*S125,0)),"미산정")</x:f>
        <x:v>미산정</x:v>
      </x:c>
      <x:c r="V125" s="87" t="str">
        <x:f>IF(ISNUMBER(O125),T125-U125,"미산정")</x:f>
        <x:v>미산정</x:v>
      </x:c>
      <x:c r="W125" s="87" t="str">
        <x:f>IF(ISNUMBER(O125),O125-T125,"미산정")</x:f>
        <x:v>미산정</x:v>
      </x:c>
      <x:c r="X125" s="87" t="str">
        <x:f>IF(ISNUMBER(O125),O125-U125,"미산정")</x:f>
        <x:v>미산정</x:v>
      </x:c>
    </x:row>
    <x:row r="126" ht="44" customHeight="1">
      <x:c r="A126" s="25" t="n">
        <x:v>116</x:v>
      </x:c>
      <x:c r="B126" s="25" t="str">
        <x:v>105동</x:v>
      </x:c>
      <x:c r="C126" s="6" t="str">
        <x:v>시스템동바리 조립</x:v>
      </x:c>
      <x:c r="D126" s="6" t="str">
        <x:v>SV-1725</x:v>
      </x:c>
      <x:c r="E126" s="6" t="str">
        <x:v>수직재</x:v>
      </x:c>
      <x:c r="F126" s="6" t="str">
        <x:v>Ø60.5 / L=1,725mm</x:v>
      </x:c>
      <x:c r="G126" s="6" t="str">
        <x:v>본</x:v>
      </x:c>
      <x:c r="H126" s="18" t="n">
        <x:v>1046</x:v>
      </x:c>
      <x:c r="I126" s="27" t="n">
        <x:v>20</x:v>
      </x:c>
      <x:c r="J126" s="27" t="n">
        <x:v>22</x:v>
      </x:c>
      <x:c r="K126" s="27" t="n">
        <x:v>19</x:v>
      </x:c>
      <x:c r="L126" s="6" t="str">
        <x:v>미등록</x:v>
      </x:c>
      <x:c r="M126" s="6" t="str">
        <x:v>미산정</x:v>
      </x:c>
      <x:c r="N126" s="28" t="str">
        <x:v>미산정</x:v>
      </x:c>
      <x:c r="O126" s="31" t="str">
        <x:f>IF(AND(N126="반영",ISNUMBER(H126)),H126,"미산정")</x:f>
        <x:v>미산정</x:v>
      </x:c>
      <x:c r="P126" s="28" t="str">
        <x:v>해당 없음</x:v>
      </x:c>
      <x:c r="Q126" s="14" t="str">
        <x:v>원자료 치수·DSD 코드와 웹 P·H·OB 규격의 동일성 미확인</x:v>
      </x:c>
      <x:c r="R126" s="81" t="n">
        <x:f>K126</x:f>
        <x:v>19</x:v>
      </x:c>
      <x:c r="S126" s="84" t="n">
        <x:f>MAX(0,MIN(1,($B$15-I126+1)/(J126-I126+1)))</x:f>
        <x:v>0</x:v>
      </x:c>
      <x:c r="T126" s="88" t="str">
        <x:f>IF(ISNUMBER(O126),IF(R126&lt;=$B$15,O126,0),"미산정")</x:f>
        <x:v>미산정</x:v>
      </x:c>
      <x:c r="U126" s="88" t="str">
        <x:f>IF(ISNUMBER(O126),MIN(T126,ROUND(O126*S126,0)),"미산정")</x:f>
        <x:v>미산정</x:v>
      </x:c>
      <x:c r="V126" s="88" t="str">
        <x:f>IF(ISNUMBER(O126),T126-U126,"미산정")</x:f>
        <x:v>미산정</x:v>
      </x:c>
      <x:c r="W126" s="88" t="str">
        <x:f>IF(ISNUMBER(O126),O126-T126,"미산정")</x:f>
        <x:v>미산정</x:v>
      </x:c>
      <x:c r="X126" s="88" t="str">
        <x:f>IF(ISNUMBER(O126),O126-U126,"미산정")</x:f>
        <x:v>미산정</x:v>
      </x:c>
    </x:row>
    <x:row r="127" ht="44" customHeight="1">
      <x:c r="A127" s="24" t="n">
        <x:v>117</x:v>
      </x:c>
      <x:c r="B127" s="24" t="str">
        <x:v>105동</x:v>
      </x:c>
      <x:c r="C127" s="13" t="str">
        <x:v>시스템동바리 조립</x:v>
      </x:c>
      <x:c r="D127" s="13" t="str">
        <x:v>SV-1291</x:v>
      </x:c>
      <x:c r="E127" s="13" t="str">
        <x:v>수직재</x:v>
      </x:c>
      <x:c r="F127" s="13" t="str">
        <x:v>Ø60.5 / L=1,291mm</x:v>
      </x:c>
      <x:c r="G127" s="13" t="str">
        <x:v>본</x:v>
      </x:c>
      <x:c r="H127" s="17" t="n">
        <x:v>214</x:v>
      </x:c>
      <x:c r="I127" s="26" t="n">
        <x:v>20</x:v>
      </x:c>
      <x:c r="J127" s="26" t="n">
        <x:v>22</x:v>
      </x:c>
      <x:c r="K127" s="26" t="n">
        <x:v>19</x:v>
      </x:c>
      <x:c r="L127" s="13" t="str">
        <x:v>미등록</x:v>
      </x:c>
      <x:c r="M127" s="13" t="str">
        <x:v>미산정</x:v>
      </x:c>
      <x:c r="N127" s="28" t="str">
        <x:v>미산정</x:v>
      </x:c>
      <x:c r="O127" s="31" t="str">
        <x:f>IF(AND(N127="반영",ISNUMBER(H127)),H127,"미산정")</x:f>
        <x:v>미산정</x:v>
      </x:c>
      <x:c r="P127" s="28" t="str">
        <x:v>해당 없음</x:v>
      </x:c>
      <x:c r="Q127" s="14" t="str">
        <x:v>원자료 치수·DSD 코드와 웹 P·H·OB 규격의 동일성 미확인</x:v>
      </x:c>
      <x:c r="R127" s="81" t="n">
        <x:f>K127</x:f>
        <x:v>19</x:v>
      </x:c>
      <x:c r="S127" s="83" t="n">
        <x:f>MAX(0,MIN(1,($B$15-I127+1)/(J127-I127+1)))</x:f>
        <x:v>0</x:v>
      </x:c>
      <x:c r="T127" s="87" t="str">
        <x:f>IF(ISNUMBER(O127),IF(R127&lt;=$B$15,O127,0),"미산정")</x:f>
        <x:v>미산정</x:v>
      </x:c>
      <x:c r="U127" s="87" t="str">
        <x:f>IF(ISNUMBER(O127),MIN(T127,ROUND(O127*S127,0)),"미산정")</x:f>
        <x:v>미산정</x:v>
      </x:c>
      <x:c r="V127" s="87" t="str">
        <x:f>IF(ISNUMBER(O127),T127-U127,"미산정")</x:f>
        <x:v>미산정</x:v>
      </x:c>
      <x:c r="W127" s="87" t="str">
        <x:f>IF(ISNUMBER(O127),O127-T127,"미산정")</x:f>
        <x:v>미산정</x:v>
      </x:c>
      <x:c r="X127" s="87" t="str">
        <x:f>IF(ISNUMBER(O127),O127-U127,"미산정")</x:f>
        <x:v>미산정</x:v>
      </x:c>
    </x:row>
    <x:row r="128" ht="44" customHeight="1">
      <x:c r="A128" s="25" t="n">
        <x:v>118</x:v>
      </x:c>
      <x:c r="B128" s="25" t="str">
        <x:v>105동</x:v>
      </x:c>
      <x:c r="C128" s="6" t="str">
        <x:v>시스템동바리 조립</x:v>
      </x:c>
      <x:c r="D128" s="6" t="str">
        <x:v>SV-0863</x:v>
      </x:c>
      <x:c r="E128" s="6" t="str">
        <x:v>수직재</x:v>
      </x:c>
      <x:c r="F128" s="6" t="str">
        <x:v>Ø60.5 / L=863mm</x:v>
      </x:c>
      <x:c r="G128" s="6" t="str">
        <x:v>본</x:v>
      </x:c>
      <x:c r="H128" s="18" t="n">
        <x:v>630</x:v>
      </x:c>
      <x:c r="I128" s="27" t="n">
        <x:v>20</x:v>
      </x:c>
      <x:c r="J128" s="27" t="n">
        <x:v>22</x:v>
      </x:c>
      <x:c r="K128" s="27" t="n">
        <x:v>19</x:v>
      </x:c>
      <x:c r="L128" s="6" t="str">
        <x:v>미등록</x:v>
      </x:c>
      <x:c r="M128" s="6" t="str">
        <x:v>미산정</x:v>
      </x:c>
      <x:c r="N128" s="28" t="str">
        <x:v>미산정</x:v>
      </x:c>
      <x:c r="O128" s="31" t="str">
        <x:f>IF(AND(N128="반영",ISNUMBER(H128)),H128,"미산정")</x:f>
        <x:v>미산정</x:v>
      </x:c>
      <x:c r="P128" s="28" t="str">
        <x:v>해당 없음</x:v>
      </x:c>
      <x:c r="Q128" s="14" t="str">
        <x:v>원자료 치수·DSD 코드와 웹 P·H·OB 규격의 동일성 미확인</x:v>
      </x:c>
      <x:c r="R128" s="81" t="n">
        <x:f>K128</x:f>
        <x:v>19</x:v>
      </x:c>
      <x:c r="S128" s="84" t="n">
        <x:f>MAX(0,MIN(1,($B$15-I128+1)/(J128-I128+1)))</x:f>
        <x:v>0</x:v>
      </x:c>
      <x:c r="T128" s="88" t="str">
        <x:f>IF(ISNUMBER(O128),IF(R128&lt;=$B$15,O128,0),"미산정")</x:f>
        <x:v>미산정</x:v>
      </x:c>
      <x:c r="U128" s="88" t="str">
        <x:f>IF(ISNUMBER(O128),MIN(T128,ROUND(O128*S128,0)),"미산정")</x:f>
        <x:v>미산정</x:v>
      </x:c>
      <x:c r="V128" s="88" t="str">
        <x:f>IF(ISNUMBER(O128),T128-U128,"미산정")</x:f>
        <x:v>미산정</x:v>
      </x:c>
      <x:c r="W128" s="88" t="str">
        <x:f>IF(ISNUMBER(O128),O128-T128,"미산정")</x:f>
        <x:v>미산정</x:v>
      </x:c>
      <x:c r="X128" s="88" t="str">
        <x:f>IF(ISNUMBER(O128),O128-U128,"미산정")</x:f>
        <x:v>미산정</x:v>
      </x:c>
    </x:row>
    <x:row r="129" ht="44" customHeight="1">
      <x:c r="A129" s="24" t="n">
        <x:v>119</x:v>
      </x:c>
      <x:c r="B129" s="24" t="str">
        <x:v>105동</x:v>
      </x:c>
      <x:c r="C129" s="13" t="str">
        <x:v>시스템동바리 조립</x:v>
      </x:c>
      <x:c r="D129" s="13" t="str">
        <x:v>SH-1219</x:v>
      </x:c>
      <x:c r="E129" s="13" t="str">
        <x:v>수평재</x:v>
      </x:c>
      <x:c r="F129" s="13" t="str">
        <x:v>Ø42.7 / 호칭 L=1,219mm</x:v>
      </x:c>
      <x:c r="G129" s="13" t="str">
        <x:v>본</x:v>
      </x:c>
      <x:c r="H129" s="17" t="n">
        <x:v>4836</x:v>
      </x:c>
      <x:c r="I129" s="26" t="n">
        <x:v>20</x:v>
      </x:c>
      <x:c r="J129" s="26" t="n">
        <x:v>22</x:v>
      </x:c>
      <x:c r="K129" s="26" t="n">
        <x:v>19</x:v>
      </x:c>
      <x:c r="L129" s="13" t="str">
        <x:v>미등록</x:v>
      </x:c>
      <x:c r="M129" s="13" t="str">
        <x:v>미산정</x:v>
      </x:c>
      <x:c r="N129" s="28" t="str">
        <x:v>미산정</x:v>
      </x:c>
      <x:c r="O129" s="31" t="str">
        <x:f>IF(AND(N129="반영",ISNUMBER(H129)),H129,"미산정")</x:f>
        <x:v>미산정</x:v>
      </x:c>
      <x:c r="P129" s="28" t="str">
        <x:v>해당 없음</x:v>
      </x:c>
      <x:c r="Q129" s="14" t="str">
        <x:v>원자료 치수·DSD 코드와 웹 P·H·OB 규격의 동일성 미확인</x:v>
      </x:c>
      <x:c r="R129" s="81" t="n">
        <x:f>K129</x:f>
        <x:v>19</x:v>
      </x:c>
      <x:c r="S129" s="83" t="n">
        <x:f>MAX(0,MIN(1,($B$15-I129+1)/(J129-I129+1)))</x:f>
        <x:v>0</x:v>
      </x:c>
      <x:c r="T129" s="87" t="str">
        <x:f>IF(ISNUMBER(O129),IF(R129&lt;=$B$15,O129,0),"미산정")</x:f>
        <x:v>미산정</x:v>
      </x:c>
      <x:c r="U129" s="87" t="str">
        <x:f>IF(ISNUMBER(O129),MIN(T129,ROUND(O129*S129,0)),"미산정")</x:f>
        <x:v>미산정</x:v>
      </x:c>
      <x:c r="V129" s="87" t="str">
        <x:f>IF(ISNUMBER(O129),T129-U129,"미산정")</x:f>
        <x:v>미산정</x:v>
      </x:c>
      <x:c r="W129" s="87" t="str">
        <x:f>IF(ISNUMBER(O129),O129-T129,"미산정")</x:f>
        <x:v>미산정</x:v>
      </x:c>
      <x:c r="X129" s="87" t="str">
        <x:f>IF(ISNUMBER(O129),O129-U129,"미산정")</x:f>
        <x:v>미산정</x:v>
      </x:c>
    </x:row>
    <x:row r="130" ht="44" customHeight="1">
      <x:c r="A130" s="25" t="n">
        <x:v>120</x:v>
      </x:c>
      <x:c r="B130" s="25" t="str">
        <x:v>105동</x:v>
      </x:c>
      <x:c r="C130" s="6" t="str">
        <x:v>시스템동바리 조립</x:v>
      </x:c>
      <x:c r="D130" s="6" t="str">
        <x:v>SB-1712</x:v>
      </x:c>
      <x:c r="E130" s="6" t="str">
        <x:v>가새재</x:v>
      </x:c>
      <x:c r="F130" s="6" t="str">
        <x:v>DSD-1712 / L=1,974mm</x:v>
      </x:c>
      <x:c r="G130" s="6" t="str">
        <x:v>본</x:v>
      </x:c>
      <x:c r="H130" s="18" t="n">
        <x:v>504</x:v>
      </x:c>
      <x:c r="I130" s="27" t="n">
        <x:v>20</x:v>
      </x:c>
      <x:c r="J130" s="27" t="n">
        <x:v>22</x:v>
      </x:c>
      <x:c r="K130" s="27" t="n">
        <x:v>19</x:v>
      </x:c>
      <x:c r="L130" s="6" t="str">
        <x:v>미등록</x:v>
      </x:c>
      <x:c r="M130" s="6" t="str">
        <x:v>미산정</x:v>
      </x:c>
      <x:c r="N130" s="28" t="str">
        <x:v>미산정</x:v>
      </x:c>
      <x:c r="O130" s="31" t="str">
        <x:f>IF(AND(N130="반영",ISNUMBER(H130)),H130,"미산정")</x:f>
        <x:v>미산정</x:v>
      </x:c>
      <x:c r="P130" s="28" t="str">
        <x:v>해당 없음</x:v>
      </x:c>
      <x:c r="Q130" s="14" t="str">
        <x:v>원자료 치수·DSD 코드와 웹 P·H·OB 규격의 동일성 미확인</x:v>
      </x:c>
      <x:c r="R130" s="81" t="n">
        <x:f>K130</x:f>
        <x:v>19</x:v>
      </x:c>
      <x:c r="S130" s="84" t="n">
        <x:f>MAX(0,MIN(1,($B$15-I130+1)/(J130-I130+1)))</x:f>
        <x:v>0</x:v>
      </x:c>
      <x:c r="T130" s="88" t="str">
        <x:f>IF(ISNUMBER(O130),IF(R130&lt;=$B$15,O130,0),"미산정")</x:f>
        <x:v>미산정</x:v>
      </x:c>
      <x:c r="U130" s="88" t="str">
        <x:f>IF(ISNUMBER(O130),MIN(T130,ROUND(O130*S130,0)),"미산정")</x:f>
        <x:v>미산정</x:v>
      </x:c>
      <x:c r="V130" s="88" t="str">
        <x:f>IF(ISNUMBER(O130),T130-U130,"미산정")</x:f>
        <x:v>미산정</x:v>
      </x:c>
      <x:c r="W130" s="88" t="str">
        <x:f>IF(ISNUMBER(O130),O130-T130,"미산정")</x:f>
        <x:v>미산정</x:v>
      </x:c>
      <x:c r="X130" s="88" t="str">
        <x:f>IF(ISNUMBER(O130),O130-U130,"미산정")</x:f>
        <x:v>미산정</x:v>
      </x:c>
    </x:row>
    <x:row r="131" ht="44" customHeight="1">
      <x:c r="A131" s="24" t="n">
        <x:v>121</x:v>
      </x:c>
      <x:c r="B131" s="24" t="str">
        <x:v>105동</x:v>
      </x:c>
      <x:c r="C131" s="13" t="str">
        <x:v>시스템동바리 조립</x:v>
      </x:c>
      <x:c r="D131" s="13" t="str">
        <x:v>SB-1212</x:v>
      </x:c>
      <x:c r="E131" s="13" t="str">
        <x:v>가새재</x:v>
      </x:c>
      <x:c r="F131" s="13" t="str">
        <x:v>DSD-1212 / L=1,609mm</x:v>
      </x:c>
      <x:c r="G131" s="13" t="str">
        <x:v>본</x:v>
      </x:c>
      <x:c r="H131" s="17" t="n">
        <x:v>103</x:v>
      </x:c>
      <x:c r="I131" s="26" t="n">
        <x:v>20</x:v>
      </x:c>
      <x:c r="J131" s="26" t="n">
        <x:v>22</x:v>
      </x:c>
      <x:c r="K131" s="26" t="n">
        <x:v>19</x:v>
      </x:c>
      <x:c r="L131" s="13" t="str">
        <x:v>미등록</x:v>
      </x:c>
      <x:c r="M131" s="13" t="str">
        <x:v>미산정</x:v>
      </x:c>
      <x:c r="N131" s="28" t="str">
        <x:v>미산정</x:v>
      </x:c>
      <x:c r="O131" s="31" t="str">
        <x:f>IF(AND(N131="반영",ISNUMBER(H131)),H131,"미산정")</x:f>
        <x:v>미산정</x:v>
      </x:c>
      <x:c r="P131" s="28" t="str">
        <x:v>해당 없음</x:v>
      </x:c>
      <x:c r="Q131" s="14" t="str">
        <x:v>원자료 치수·DSD 코드와 웹 P·H·OB 규격의 동일성 미확인</x:v>
      </x:c>
      <x:c r="R131" s="81" t="n">
        <x:f>K131</x:f>
        <x:v>19</x:v>
      </x:c>
      <x:c r="S131" s="83" t="n">
        <x:f>MAX(0,MIN(1,($B$15-I131+1)/(J131-I131+1)))</x:f>
        <x:v>0</x:v>
      </x:c>
      <x:c r="T131" s="87" t="str">
        <x:f>IF(ISNUMBER(O131),IF(R131&lt;=$B$15,O131,0),"미산정")</x:f>
        <x:v>미산정</x:v>
      </x:c>
      <x:c r="U131" s="87" t="str">
        <x:f>IF(ISNUMBER(O131),MIN(T131,ROUND(O131*S131,0)),"미산정")</x:f>
        <x:v>미산정</x:v>
      </x:c>
      <x:c r="V131" s="87" t="str">
        <x:f>IF(ISNUMBER(O131),T131-U131,"미산정")</x:f>
        <x:v>미산정</x:v>
      </x:c>
      <x:c r="W131" s="87" t="str">
        <x:f>IF(ISNUMBER(O131),O131-T131,"미산정")</x:f>
        <x:v>미산정</x:v>
      </x:c>
      <x:c r="X131" s="87" t="str">
        <x:f>IF(ISNUMBER(O131),O131-U131,"미산정")</x:f>
        <x:v>미산정</x:v>
      </x:c>
    </x:row>
    <x:row r="132" ht="44" customHeight="1">
      <x:c r="A132" s="25" t="n">
        <x:v>122</x:v>
      </x:c>
      <x:c r="B132" s="25" t="str">
        <x:v>105동</x:v>
      </x:c>
      <x:c r="C132" s="6" t="str">
        <x:v>시스템동바리 조립</x:v>
      </x:c>
      <x:c r="D132" s="6" t="str">
        <x:v>SB-0812</x:v>
      </x:c>
      <x:c r="E132" s="6" t="str">
        <x:v>가새재</x:v>
      </x:c>
      <x:c r="F132" s="6" t="str">
        <x:v>DSD-0812 / L=1,290mm</x:v>
      </x:c>
      <x:c r="G132" s="6" t="str">
        <x:v>본</x:v>
      </x:c>
      <x:c r="H132" s="18" t="n">
        <x:v>303</x:v>
      </x:c>
      <x:c r="I132" s="27" t="n">
        <x:v>20</x:v>
      </x:c>
      <x:c r="J132" s="27" t="n">
        <x:v>22</x:v>
      </x:c>
      <x:c r="K132" s="27" t="n">
        <x:v>19</x:v>
      </x:c>
      <x:c r="L132" s="6" t="str">
        <x:v>미등록</x:v>
      </x:c>
      <x:c r="M132" s="6" t="str">
        <x:v>미산정</x:v>
      </x:c>
      <x:c r="N132" s="28" t="str">
        <x:v>미산정</x:v>
      </x:c>
      <x:c r="O132" s="31" t="str">
        <x:f>IF(AND(N132="반영",ISNUMBER(H132)),H132,"미산정")</x:f>
        <x:v>미산정</x:v>
      </x:c>
      <x:c r="P132" s="28" t="str">
        <x:v>해당 없음</x:v>
      </x:c>
      <x:c r="Q132" s="14" t="str">
        <x:v>원자료 치수·DSD 코드와 웹 P·H·OB 규격의 동일성 미확인</x:v>
      </x:c>
      <x:c r="R132" s="81" t="n">
        <x:f>K132</x:f>
        <x:v>19</x:v>
      </x:c>
      <x:c r="S132" s="84" t="n">
        <x:f>MAX(0,MIN(1,($B$15-I132+1)/(J132-I132+1)))</x:f>
        <x:v>0</x:v>
      </x:c>
      <x:c r="T132" s="88" t="str">
        <x:f>IF(ISNUMBER(O132),IF(R132&lt;=$B$15,O132,0),"미산정")</x:f>
        <x:v>미산정</x:v>
      </x:c>
      <x:c r="U132" s="88" t="str">
        <x:f>IF(ISNUMBER(O132),MIN(T132,ROUND(O132*S132,0)),"미산정")</x:f>
        <x:v>미산정</x:v>
      </x:c>
      <x:c r="V132" s="88" t="str">
        <x:f>IF(ISNUMBER(O132),T132-U132,"미산정")</x:f>
        <x:v>미산정</x:v>
      </x:c>
      <x:c r="W132" s="88" t="str">
        <x:f>IF(ISNUMBER(O132),O132-T132,"미산정")</x:f>
        <x:v>미산정</x:v>
      </x:c>
      <x:c r="X132" s="88" t="str">
        <x:f>IF(ISNUMBER(O132),O132-U132,"미산정")</x:f>
        <x:v>미산정</x:v>
      </x:c>
    </x:row>
    <x:row r="133" ht="44" customHeight="1">
      <x:c r="A133" s="24" t="n">
        <x:v>123</x:v>
      </x:c>
      <x:c r="B133" s="24" t="str">
        <x:v>105동</x:v>
      </x:c>
      <x:c r="C133" s="13" t="str">
        <x:v>시스템동바리 조립</x:v>
      </x:c>
      <x:c r="D133" s="13" t="str">
        <x:v>UJ-600</x:v>
      </x:c>
      <x:c r="E133" s="13" t="str">
        <x:v>U헤드 잭</x:v>
      </x:c>
      <x:c r="F133" s="13" t="str">
        <x:v>Ø45 / L=600mm</x:v>
      </x:c>
      <x:c r="G133" s="13" t="str">
        <x:v>개</x:v>
      </x:c>
      <x:c r="H133" s="17" t="n">
        <x:v>630</x:v>
      </x:c>
      <x:c r="I133" s="26" t="n">
        <x:v>20</x:v>
      </x:c>
      <x:c r="J133" s="26" t="n">
        <x:v>22</x:v>
      </x:c>
      <x:c r="K133" s="26" t="n">
        <x:v>19</x:v>
      </x:c>
      <x:c r="L133" s="13" t="str">
        <x:v>시스템서포트</x:v>
      </x:c>
      <x:c r="M133" s="13" t="str">
        <x:v>동바리 상부자키</x:v>
      </x:c>
      <x:c r="N133" s="24" t="str">
        <x:v>반영</x:v>
      </x:c>
      <x:c r="O133" s="29" t="n">
        <x:f>IF(AND(N133="반영",ISNUMBER(H133)),H133,"미산정")</x:f>
        <x:v>630</x:v>
      </x:c>
      <x:c r="P133" s="24" t="str">
        <x:v>해당 없음</x:v>
      </x:c>
      <x:c r="Q133" s="13" t="str">
        <x:v>U헤드 잭 → 등록된 동바리 상부자키. 원자료 치수 별도 보존</x:v>
      </x:c>
      <x:c r="R133" s="81" t="n">
        <x:f>K133</x:f>
        <x:v>19</x:v>
      </x:c>
      <x:c r="S133" s="83" t="n">
        <x:f>MAX(0,MIN(1,($B$15-I133+1)/(J133-I133+1)))</x:f>
        <x:v>0</x:v>
      </x:c>
      <x:c r="T133" s="87" t="n">
        <x:f>IF(ISNUMBER(O133),IF(R133&lt;=$B$15,O133,0),"미산정")</x:f>
        <x:v>0</x:v>
      </x:c>
      <x:c r="U133" s="87" t="n">
        <x:f>IF(ISNUMBER(O133),MIN(T133,ROUND(O133*S133,0)),"미산정")</x:f>
        <x:v>0</x:v>
      </x:c>
      <x:c r="V133" s="87" t="n">
        <x:f>IF(ISNUMBER(O133),T133-U133,"미산정")</x:f>
        <x:v>0</x:v>
      </x:c>
      <x:c r="W133" s="87" t="n">
        <x:f>IF(ISNUMBER(O133),O133-T133,"미산정")</x:f>
        <x:v>630</x:v>
      </x:c>
      <x:c r="X133" s="87" t="n">
        <x:f>IF(ISNUMBER(O133),O133-U133,"미산정")</x:f>
        <x:v>630</x:v>
      </x:c>
    </x:row>
    <x:row r="134" ht="44" customHeight="1">
      <x:c r="A134" s="25" t="n">
        <x:v>124</x:v>
      </x:c>
      <x:c r="B134" s="25" t="str">
        <x:v>105동</x:v>
      </x:c>
      <x:c r="C134" s="6" t="str">
        <x:v>시스템동바리 조립</x:v>
      </x:c>
      <x:c r="D134" s="6" t="str">
        <x:v>BJ-600</x:v>
      </x:c>
      <x:c r="E134" s="6" t="str">
        <x:v>베이스 잭</x:v>
      </x:c>
      <x:c r="F134" s="6" t="str">
        <x:v>Ø45 / L=600mm</x:v>
      </x:c>
      <x:c r="G134" s="6" t="str">
        <x:v>개</x:v>
      </x:c>
      <x:c r="H134" s="18" t="n">
        <x:v>630</x:v>
      </x:c>
      <x:c r="I134" s="27" t="n">
        <x:v>20</x:v>
      </x:c>
      <x:c r="J134" s="27" t="n">
        <x:v>22</x:v>
      </x:c>
      <x:c r="K134" s="27" t="n">
        <x:v>19</x:v>
      </x:c>
      <x:c r="L134" s="6" t="str">
        <x:v>시스템서포트</x:v>
      </x:c>
      <x:c r="M134" s="6" t="str">
        <x:v>동바리 하부자키</x:v>
      </x:c>
      <x:c r="N134" s="25" t="str">
        <x:v>반영</x:v>
      </x:c>
      <x:c r="O134" s="30" t="n">
        <x:f>IF(AND(N134="반영",ISNUMBER(H134)),H134,"미산정")</x:f>
        <x:v>630</x:v>
      </x:c>
      <x:c r="P134" s="25" t="str">
        <x:v>해당 없음</x:v>
      </x:c>
      <x:c r="Q134" s="6" t="str">
        <x:v>베이스 잭 → 등록된 동바리 하부자키. 원자료 치수 별도 보존</x:v>
      </x:c>
      <x:c r="R134" s="81" t="n">
        <x:f>K134</x:f>
        <x:v>19</x:v>
      </x:c>
      <x:c r="S134" s="84" t="n">
        <x:f>MAX(0,MIN(1,($B$15-I134+1)/(J134-I134+1)))</x:f>
        <x:v>0</x:v>
      </x:c>
      <x:c r="T134" s="88" t="n">
        <x:f>IF(ISNUMBER(O134),IF(R134&lt;=$B$15,O134,0),"미산정")</x:f>
        <x:v>0</x:v>
      </x:c>
      <x:c r="U134" s="88" t="n">
        <x:f>IF(ISNUMBER(O134),MIN(T134,ROUND(O134*S134,0)),"미산정")</x:f>
        <x:v>0</x:v>
      </x:c>
      <x:c r="V134" s="88" t="n">
        <x:f>IF(ISNUMBER(O134),T134-U134,"미산정")</x:f>
        <x:v>0</x:v>
      </x:c>
      <x:c r="W134" s="88" t="n">
        <x:f>IF(ISNUMBER(O134),O134-T134,"미산정")</x:f>
        <x:v>630</x:v>
      </x:c>
      <x:c r="X134" s="88" t="n">
        <x:f>IF(ISNUMBER(O134),O134-U134,"미산정")</x:f>
        <x:v>630</x:v>
      </x:c>
    </x:row>
    <x:row r="135" ht="44" customHeight="1">
      <x:c r="A135" s="24" t="n">
        <x:v>125</x:v>
      </x:c>
      <x:c r="B135" s="24" t="str">
        <x:v>105동</x:v>
      </x:c>
      <x:c r="C135" s="13" t="str">
        <x:v>시스템동바리 조립</x:v>
      </x:c>
      <x:c r="D135" s="13" t="str">
        <x:v>CP-120</x:v>
      </x:c>
      <x:c r="E135" s="13" t="str">
        <x:v>연결 카프링</x:v>
      </x:c>
      <x:c r="F135" s="13" t="str">
        <x:v>Ø60.5 / L=120mm</x:v>
      </x:c>
      <x:c r="G135" s="13" t="str">
        <x:v>개</x:v>
      </x:c>
      <x:c r="H135" s="17" t="n">
        <x:v>1260</x:v>
      </x:c>
      <x:c r="I135" s="26" t="n">
        <x:v>20</x:v>
      </x:c>
      <x:c r="J135" s="26" t="n">
        <x:v>22</x:v>
      </x:c>
      <x:c r="K135" s="26" t="n">
        <x:v>19</x:v>
      </x:c>
      <x:c r="L135" s="13" t="str">
        <x:v>시스템서포트</x:v>
      </x:c>
      <x:c r="M135" s="13" t="str">
        <x:v>카플링(소켓)</x:v>
      </x:c>
      <x:c r="N135" s="24" t="str">
        <x:v>반영</x:v>
      </x:c>
      <x:c r="O135" s="29" t="n">
        <x:f>IF(AND(N135="반영",ISNUMBER(H135)),H135,"미산정")</x:f>
        <x:v>1260</x:v>
      </x:c>
      <x:c r="P135" s="24" t="str">
        <x:v>해당 없음</x:v>
      </x:c>
      <x:c r="Q135" s="13" t="str">
        <x:v>연결 카플링 → 등록된 카플링(소켓). 원자료 치수 별도 보존</x:v>
      </x:c>
      <x:c r="R135" s="81" t="n">
        <x:f>K135</x:f>
        <x:v>19</x:v>
      </x:c>
      <x:c r="S135" s="83" t="n">
        <x:f>MAX(0,MIN(1,($B$15-I135+1)/(J135-I135+1)))</x:f>
        <x:v>0</x:v>
      </x:c>
      <x:c r="T135" s="87" t="n">
        <x:f>IF(ISNUMBER(O135),IF(R135&lt;=$B$15,O135,0),"미산정")</x:f>
        <x:v>0</x:v>
      </x:c>
      <x:c r="U135" s="87" t="n">
        <x:f>IF(ISNUMBER(O135),MIN(T135,ROUND(O135*S135,0)),"미산정")</x:f>
        <x:v>0</x:v>
      </x:c>
      <x:c r="V135" s="87" t="n">
        <x:f>IF(ISNUMBER(O135),T135-U135,"미산정")</x:f>
        <x:v>0</x:v>
      </x:c>
      <x:c r="W135" s="87" t="n">
        <x:f>IF(ISNUMBER(O135),O135-T135,"미산정")</x:f>
        <x:v>1260</x:v>
      </x:c>
      <x:c r="X135" s="87" t="n">
        <x:f>IF(ISNUMBER(O135),O135-U135,"미산정")</x:f>
        <x:v>1260</x:v>
      </x:c>
    </x:row>
    <x:row r="136" ht="44" customHeight="1">
      <x:c r="A136" s="25" t="n">
        <x:v>126</x:v>
      </x:c>
      <x:c r="B136" s="25" t="str">
        <x:v>105동</x:v>
      </x:c>
      <x:c r="C136" s="6" t="str">
        <x:v>보·슬래브 거푸집</x:v>
      </x:c>
      <x:c r="D136" s="6" t="str">
        <x:v>PW-1224</x:v>
      </x:c>
      <x:c r="E136" s="6" t="str">
        <x:v>코팅합판</x:v>
      </x:c>
      <x:c r="F136" s="6" t="str">
        <x:v>1,220×2,440×12mm</x:v>
      </x:c>
      <x:c r="G136" s="6" t="str">
        <x:v>장</x:v>
      </x:c>
      <x:c r="H136" s="18" t="n">
        <x:v>415</x:v>
      </x:c>
      <x:c r="I136" s="27" t="n">
        <x:v>23</x:v>
      </x:c>
      <x:c r="J136" s="27" t="n">
        <x:v>26</x:v>
      </x:c>
      <x:c r="K136" s="27" t="n">
        <x:v>22</x:v>
      </x:c>
      <x:c r="L136" s="6" t="str">
        <x:v>미등록</x:v>
      </x:c>
      <x:c r="M136" s="6" t="str">
        <x:v>미산정</x:v>
      </x:c>
      <x:c r="N136" s="28" t="str">
        <x:v>미산정</x:v>
      </x:c>
      <x:c r="O136" s="31" t="str">
        <x:f>IF(AND(N136="반영",ISNUMBER(H136)),H136,"미산정")</x:f>
        <x:v>미산정</x:v>
      </x:c>
      <x:c r="P136" s="28" t="str">
        <x:v>해당 없음</x:v>
      </x:c>
      <x:c r="Q136" s="14" t="str">
        <x:v>현재 웹 등록 품목에 없음. 다른 품목으로 대체하지 않음</x:v>
      </x:c>
      <x:c r="R136" s="81" t="n">
        <x:f>K136</x:f>
        <x:v>22</x:v>
      </x:c>
      <x:c r="S136" s="84" t="n">
        <x:f>MAX(0,MIN(1,($B$15-I136+1)/(J136-I136+1)))</x:f>
        <x:v>0</x:v>
      </x:c>
      <x:c r="T136" s="88" t="str">
        <x:f>IF(ISNUMBER(O136),IF(R136&lt;=$B$15,O136,0),"미산정")</x:f>
        <x:v>미산정</x:v>
      </x:c>
      <x:c r="U136" s="88" t="str">
        <x:f>IF(ISNUMBER(O136),MIN(T136,ROUND(O136*S136,0)),"미산정")</x:f>
        <x:v>미산정</x:v>
      </x:c>
      <x:c r="V136" s="88" t="str">
        <x:f>IF(ISNUMBER(O136),T136-U136,"미산정")</x:f>
        <x:v>미산정</x:v>
      </x:c>
      <x:c r="W136" s="88" t="str">
        <x:f>IF(ISNUMBER(O136),O136-T136,"미산정")</x:f>
        <x:v>미산정</x:v>
      </x:c>
      <x:c r="X136" s="88" t="str">
        <x:f>IF(ISNUMBER(O136),O136-U136,"미산정")</x:f>
        <x:v>미산정</x:v>
      </x:c>
    </x:row>
    <x:row r="137" ht="44" customHeight="1">
      <x:c r="A137" s="24" t="n">
        <x:v>127</x:v>
      </x:c>
      <x:c r="B137" s="24" t="str">
        <x:v>105동</x:v>
      </x:c>
      <x:c r="C137" s="13" t="str">
        <x:v>보·슬래브 거푸집</x:v>
      </x:c>
      <x:c r="D137" s="13" t="str">
        <x:v>JO-4000</x:v>
      </x:c>
      <x:c r="E137" s="13" t="str">
        <x:v>각관 장선</x:v>
      </x:c>
      <x:c r="F137" s="13" t="str">
        <x:v>50×50×2.3mm / L=4,000mm</x:v>
      </x:c>
      <x:c r="G137" s="13" t="str">
        <x:v>본</x:v>
      </x:c>
      <x:c r="H137" s="17" t="n">
        <x:v>771</x:v>
      </x:c>
      <x:c r="I137" s="26" t="n">
        <x:v>23</x:v>
      </x:c>
      <x:c r="J137" s="26" t="n">
        <x:v>26</x:v>
      </x:c>
      <x:c r="K137" s="26" t="n">
        <x:v>22</x:v>
      </x:c>
      <x:c r="L137" s="13" t="str">
        <x:v>미등록</x:v>
      </x:c>
      <x:c r="M137" s="13" t="str">
        <x:v>미산정</x:v>
      </x:c>
      <x:c r="N137" s="28" t="str">
        <x:v>미산정</x:v>
      </x:c>
      <x:c r="O137" s="31" t="str">
        <x:f>IF(AND(N137="반영",ISNUMBER(H137)),H137,"미산정")</x:f>
        <x:v>미산정</x:v>
      </x:c>
      <x:c r="P137" s="28" t="str">
        <x:v>해당 없음</x:v>
      </x:c>
      <x:c r="Q137" s="14" t="str">
        <x:v>현재 웹 등록 품목에 없음. 다른 품목으로 대체하지 않음</x:v>
      </x:c>
      <x:c r="R137" s="81" t="n">
        <x:f>K137</x:f>
        <x:v>22</x:v>
      </x:c>
      <x:c r="S137" s="83" t="n">
        <x:f>MAX(0,MIN(1,($B$15-I137+1)/(J137-I137+1)))</x:f>
        <x:v>0</x:v>
      </x:c>
      <x:c r="T137" s="87" t="str">
        <x:f>IF(ISNUMBER(O137),IF(R137&lt;=$B$15,O137,0),"미산정")</x:f>
        <x:v>미산정</x:v>
      </x:c>
      <x:c r="U137" s="87" t="str">
        <x:f>IF(ISNUMBER(O137),MIN(T137,ROUND(O137*S137,0)),"미산정")</x:f>
        <x:v>미산정</x:v>
      </x:c>
      <x:c r="V137" s="87" t="str">
        <x:f>IF(ISNUMBER(O137),T137-U137,"미산정")</x:f>
        <x:v>미산정</x:v>
      </x:c>
      <x:c r="W137" s="87" t="str">
        <x:f>IF(ISNUMBER(O137),O137-T137,"미산정")</x:f>
        <x:v>미산정</x:v>
      </x:c>
      <x:c r="X137" s="87" t="str">
        <x:f>IF(ISNUMBER(O137),O137-U137,"미산정")</x:f>
        <x:v>미산정</x:v>
      </x:c>
    </x:row>
    <x:row r="138" ht="44" customHeight="1">
      <x:c r="A138" s="25" t="n">
        <x:v>128</x:v>
      </x:c>
      <x:c r="B138" s="25" t="str">
        <x:v>105동</x:v>
      </x:c>
      <x:c r="C138" s="6" t="str">
        <x:v>보·슬래브 거푸집</x:v>
      </x:c>
      <x:c r="D138" s="6" t="str">
        <x:v>BE-3000</x:v>
      </x:c>
      <x:c r="E138" s="6" t="str">
        <x:v>시스템 멍에</x:v>
      </x:c>
      <x:c r="F138" s="6" t="str">
        <x:v>선정 제품 길이 3,000mm</x:v>
      </x:c>
      <x:c r="G138" s="6" t="str">
        <x:v>본</x:v>
      </x:c>
      <x:c r="H138" s="18" t="n">
        <x:v>265</x:v>
      </x:c>
      <x:c r="I138" s="27" t="n">
        <x:v>23</x:v>
      </x:c>
      <x:c r="J138" s="27" t="n">
        <x:v>26</x:v>
      </x:c>
      <x:c r="K138" s="27" t="n">
        <x:v>22</x:v>
      </x:c>
      <x:c r="L138" s="6" t="str">
        <x:v>미등록</x:v>
      </x:c>
      <x:c r="M138" s="6" t="str">
        <x:v>미산정</x:v>
      </x:c>
      <x:c r="N138" s="28" t="str">
        <x:v>미산정</x:v>
      </x:c>
      <x:c r="O138" s="31" t="str">
        <x:f>IF(AND(N138="반영",ISNUMBER(H138)),H138,"미산정")</x:f>
        <x:v>미산정</x:v>
      </x:c>
      <x:c r="P138" s="28" t="str">
        <x:v>해당 없음</x:v>
      </x:c>
      <x:c r="Q138" s="14" t="str">
        <x:v>현재 웹 등록 품목에 없음. 다른 품목으로 대체하지 않음</x:v>
      </x:c>
      <x:c r="R138" s="81" t="n">
        <x:f>K138</x:f>
        <x:v>22</x:v>
      </x:c>
      <x:c r="S138" s="84" t="n">
        <x:f>MAX(0,MIN(1,($B$15-I138+1)/(J138-I138+1)))</x:f>
        <x:v>0</x:v>
      </x:c>
      <x:c r="T138" s="88" t="str">
        <x:f>IF(ISNUMBER(O138),IF(R138&lt;=$B$15,O138,0),"미산정")</x:f>
        <x:v>미산정</x:v>
      </x:c>
      <x:c r="U138" s="88" t="str">
        <x:f>IF(ISNUMBER(O138),MIN(T138,ROUND(O138*S138,0)),"미산정")</x:f>
        <x:v>미산정</x:v>
      </x:c>
      <x:c r="V138" s="88" t="str">
        <x:f>IF(ISNUMBER(O138),T138-U138,"미산정")</x:f>
        <x:v>미산정</x:v>
      </x:c>
      <x:c r="W138" s="88" t="str">
        <x:f>IF(ISNUMBER(O138),O138-T138,"미산정")</x:f>
        <x:v>미산정</x:v>
      </x:c>
      <x:c r="X138" s="88" t="str">
        <x:f>IF(ISNUMBER(O138),O138-U138,"미산정")</x:f>
        <x:v>미산정</x:v>
      </x:c>
    </x:row>
    <x:row r="139" ht="44" customHeight="1">
      <x:c r="A139" s="24" t="n">
        <x:v>129</x:v>
      </x:c>
      <x:c r="B139" s="24" t="str">
        <x:v>105동</x:v>
      </x:c>
      <x:c r="C139" s="13" t="str">
        <x:v>보·슬래브 철근배근</x:v>
      </x:c>
      <x:c r="D139" s="13" t="str">
        <x:v>RB-D10</x:v>
      </x:c>
      <x:c r="E139" s="13" t="str">
        <x:v>철근</x:v>
      </x:c>
      <x:c r="F139" s="13" t="str">
        <x:v>SD500 D10 / 부위별 공장 가공</x:v>
      </x:c>
      <x:c r="G139" s="13" t="str">
        <x:v>kg</x:v>
      </x:c>
      <x:c r="H139" s="17" t="n">
        <x:v>3250</x:v>
      </x:c>
      <x:c r="I139" s="26" t="n">
        <x:v>27</x:v>
      </x:c>
      <x:c r="J139" s="26" t="n">
        <x:v>29</x:v>
      </x:c>
      <x:c r="K139" s="26" t="n">
        <x:v>26</x:v>
      </x:c>
      <x:c r="L139" s="13" t="str">
        <x:v>철근</x:v>
      </x:c>
      <x:c r="M139" s="13" t="str">
        <x:v>D10</x:v>
      </x:c>
      <x:c r="N139" s="24" t="str">
        <x:v>반영</x:v>
      </x:c>
      <x:c r="O139" s="29" t="n">
        <x:f>IF(AND(N139="반영",ISNUMBER(H139)),H139,"미산정")</x:f>
        <x:v>3250</x:v>
      </x:c>
      <x:c r="P139" s="24" t="str">
        <x:v>미제공</x:v>
      </x:c>
      <x:c r="Q139" s="13" t="str">
        <x:v>등록 품목·규격과 일치</x:v>
      </x:c>
      <x:c r="R139" s="81" t="n">
        <x:f>K139</x:f>
        <x:v>26</x:v>
      </x:c>
      <x:c r="S139" s="83" t="n">
        <x:f>MAX(0,MIN(1,($B$15-I139+1)/(J139-I139+1)))</x:f>
        <x:v>0</x:v>
      </x:c>
      <x:c r="T139" s="87" t="n">
        <x:f>IF(ISNUMBER(O139),IF(R139&lt;=$B$15,O139,0),"미산정")</x:f>
        <x:v>0</x:v>
      </x:c>
      <x:c r="U139" s="87" t="n">
        <x:f>IF(ISNUMBER(O139),MIN(T139,ROUND(O139*S139,0)),"미산정")</x:f>
        <x:v>0</x:v>
      </x:c>
      <x:c r="V139" s="87" t="n">
        <x:f>IF(ISNUMBER(O139),T139-U139,"미산정")</x:f>
        <x:v>0</x:v>
      </x:c>
      <x:c r="W139" s="87" t="n">
        <x:f>IF(ISNUMBER(O139),O139-T139,"미산정")</x:f>
        <x:v>3250</x:v>
      </x:c>
      <x:c r="X139" s="87" t="n">
        <x:f>IF(ISNUMBER(O139),O139-U139,"미산정")</x:f>
        <x:v>3250</x:v>
      </x:c>
    </x:row>
    <x:row r="140" ht="44" customHeight="1">
      <x:c r="A140" s="25" t="n">
        <x:v>130</x:v>
      </x:c>
      <x:c r="B140" s="25" t="str">
        <x:v>105동</x:v>
      </x:c>
      <x:c r="C140" s="6" t="str">
        <x:v>보·슬래브 철근배근</x:v>
      </x:c>
      <x:c r="D140" s="6" t="str">
        <x:v>RB-D13</x:v>
      </x:c>
      <x:c r="E140" s="6" t="str">
        <x:v>철근</x:v>
      </x:c>
      <x:c r="F140" s="6" t="str">
        <x:v>SD500 D13 / 부위별 공장 가공</x:v>
      </x:c>
      <x:c r="G140" s="6" t="str">
        <x:v>kg</x:v>
      </x:c>
      <x:c r="H140" s="18" t="n">
        <x:v>8110</x:v>
      </x:c>
      <x:c r="I140" s="27" t="n">
        <x:v>27</x:v>
      </x:c>
      <x:c r="J140" s="27" t="n">
        <x:v>29</x:v>
      </x:c>
      <x:c r="K140" s="27" t="n">
        <x:v>26</x:v>
      </x:c>
      <x:c r="L140" s="6" t="str">
        <x:v>철근</x:v>
      </x:c>
      <x:c r="M140" s="6" t="str">
        <x:v>D13</x:v>
      </x:c>
      <x:c r="N140" s="25" t="str">
        <x:v>반영</x:v>
      </x:c>
      <x:c r="O140" s="30" t="n">
        <x:f>IF(AND(N140="반영",ISNUMBER(H140)),H140,"미산정")</x:f>
        <x:v>8110</x:v>
      </x:c>
      <x:c r="P140" s="25" t="str">
        <x:v>미제공</x:v>
      </x:c>
      <x:c r="Q140" s="6" t="str">
        <x:v>등록 품목·규격과 일치</x:v>
      </x:c>
      <x:c r="R140" s="81" t="n">
        <x:f>K140</x:f>
        <x:v>26</x:v>
      </x:c>
      <x:c r="S140" s="84" t="n">
        <x:f>MAX(0,MIN(1,($B$15-I140+1)/(J140-I140+1)))</x:f>
        <x:v>0</x:v>
      </x:c>
      <x:c r="T140" s="88" t="n">
        <x:f>IF(ISNUMBER(O140),IF(R140&lt;=$B$15,O140,0),"미산정")</x:f>
        <x:v>0</x:v>
      </x:c>
      <x:c r="U140" s="88" t="n">
        <x:f>IF(ISNUMBER(O140),MIN(T140,ROUND(O140*S140,0)),"미산정")</x:f>
        <x:v>0</x:v>
      </x:c>
      <x:c r="V140" s="88" t="n">
        <x:f>IF(ISNUMBER(O140),T140-U140,"미산정")</x:f>
        <x:v>0</x:v>
      </x:c>
      <x:c r="W140" s="88" t="n">
        <x:f>IF(ISNUMBER(O140),O140-T140,"미산정")</x:f>
        <x:v>8110</x:v>
      </x:c>
      <x:c r="X140" s="88" t="n">
        <x:f>IF(ISNUMBER(O140),O140-U140,"미산정")</x:f>
        <x:v>8110</x:v>
      </x:c>
    </x:row>
    <x:row r="141" ht="44" customHeight="1">
      <x:c r="A141" s="24" t="n">
        <x:v>131</x:v>
      </x:c>
      <x:c r="B141" s="24" t="str">
        <x:v>105동</x:v>
      </x:c>
      <x:c r="C141" s="13" t="str">
        <x:v>보·슬래브 철근배근</x:v>
      </x:c>
      <x:c r="D141" s="13" t="str">
        <x:v>RB-D16</x:v>
      </x:c>
      <x:c r="E141" s="13" t="str">
        <x:v>철근</x:v>
      </x:c>
      <x:c r="F141" s="13" t="str">
        <x:v>SD500 D16 / 부위별 공장 가공</x:v>
      </x:c>
      <x:c r="G141" s="13" t="str">
        <x:v>kg</x:v>
      </x:c>
      <x:c r="H141" s="17" t="n">
        <x:v>6490</x:v>
      </x:c>
      <x:c r="I141" s="26" t="n">
        <x:v>27</x:v>
      </x:c>
      <x:c r="J141" s="26" t="n">
        <x:v>29</x:v>
      </x:c>
      <x:c r="K141" s="26" t="n">
        <x:v>26</x:v>
      </x:c>
      <x:c r="L141" s="13" t="str">
        <x:v>철근</x:v>
      </x:c>
      <x:c r="M141" s="13" t="str">
        <x:v>D16</x:v>
      </x:c>
      <x:c r="N141" s="24" t="str">
        <x:v>반영</x:v>
      </x:c>
      <x:c r="O141" s="29" t="n">
        <x:f>IF(AND(N141="반영",ISNUMBER(H141)),H141,"미산정")</x:f>
        <x:v>6490</x:v>
      </x:c>
      <x:c r="P141" s="24" t="str">
        <x:v>미제공</x:v>
      </x:c>
      <x:c r="Q141" s="13" t="str">
        <x:v>등록 품목·규격과 일치</x:v>
      </x:c>
      <x:c r="R141" s="81" t="n">
        <x:f>K141</x:f>
        <x:v>26</x:v>
      </x:c>
      <x:c r="S141" s="83" t="n">
        <x:f>MAX(0,MIN(1,($B$15-I141+1)/(J141-I141+1)))</x:f>
        <x:v>0</x:v>
      </x:c>
      <x:c r="T141" s="87" t="n">
        <x:f>IF(ISNUMBER(O141),IF(R141&lt;=$B$15,O141,0),"미산정")</x:f>
        <x:v>0</x:v>
      </x:c>
      <x:c r="U141" s="87" t="n">
        <x:f>IF(ISNUMBER(O141),MIN(T141,ROUND(O141*S141,0)),"미산정")</x:f>
        <x:v>0</x:v>
      </x:c>
      <x:c r="V141" s="87" t="n">
        <x:f>IF(ISNUMBER(O141),T141-U141,"미산정")</x:f>
        <x:v>0</x:v>
      </x:c>
      <x:c r="W141" s="87" t="n">
        <x:f>IF(ISNUMBER(O141),O141-T141,"미산정")</x:f>
        <x:v>6490</x:v>
      </x:c>
      <x:c r="X141" s="87" t="n">
        <x:f>IF(ISNUMBER(O141),O141-U141,"미산정")</x:f>
        <x:v>6490</x:v>
      </x:c>
    </x:row>
    <x:row r="142" ht="44" customHeight="1">
      <x:c r="A142" s="25" t="n">
        <x:v>132</x:v>
      </x:c>
      <x:c r="B142" s="25" t="str">
        <x:v>105동</x:v>
      </x:c>
      <x:c r="C142" s="6" t="str">
        <x:v>보·슬래브 철근배근</x:v>
      </x:c>
      <x:c r="D142" s="6" t="str">
        <x:v>RB-D19</x:v>
      </x:c>
      <x:c r="E142" s="6" t="str">
        <x:v>철근</x:v>
      </x:c>
      <x:c r="F142" s="6" t="str">
        <x:v>SD500 D19 / 부위별 공장 가공</x:v>
      </x:c>
      <x:c r="G142" s="6" t="str">
        <x:v>kg</x:v>
      </x:c>
      <x:c r="H142" s="18" t="n">
        <x:v>6490</x:v>
      </x:c>
      <x:c r="I142" s="27" t="n">
        <x:v>27</x:v>
      </x:c>
      <x:c r="J142" s="27" t="n">
        <x:v>29</x:v>
      </x:c>
      <x:c r="K142" s="27" t="n">
        <x:v>26</x:v>
      </x:c>
      <x:c r="L142" s="6" t="str">
        <x:v>철근</x:v>
      </x:c>
      <x:c r="M142" s="6" t="str">
        <x:v>D19</x:v>
      </x:c>
      <x:c r="N142" s="25" t="str">
        <x:v>반영</x:v>
      </x:c>
      <x:c r="O142" s="30" t="n">
        <x:f>IF(AND(N142="반영",ISNUMBER(H142)),H142,"미산정")</x:f>
        <x:v>6490</x:v>
      </x:c>
      <x:c r="P142" s="25" t="str">
        <x:v>미제공</x:v>
      </x:c>
      <x:c r="Q142" s="6" t="str">
        <x:v>등록 품목·규격과 일치</x:v>
      </x:c>
      <x:c r="R142" s="81" t="n">
        <x:f>K142</x:f>
        <x:v>26</x:v>
      </x:c>
      <x:c r="S142" s="84" t="n">
        <x:f>MAX(0,MIN(1,($B$15-I142+1)/(J142-I142+1)))</x:f>
        <x:v>0</x:v>
      </x:c>
      <x:c r="T142" s="88" t="n">
        <x:f>IF(ISNUMBER(O142),IF(R142&lt;=$B$15,O142,0),"미산정")</x:f>
        <x:v>0</x:v>
      </x:c>
      <x:c r="U142" s="88" t="n">
        <x:f>IF(ISNUMBER(O142),MIN(T142,ROUND(O142*S142,0)),"미산정")</x:f>
        <x:v>0</x:v>
      </x:c>
      <x:c r="V142" s="88" t="n">
        <x:f>IF(ISNUMBER(O142),T142-U142,"미산정")</x:f>
        <x:v>0</x:v>
      </x:c>
      <x:c r="W142" s="88" t="n">
        <x:f>IF(ISNUMBER(O142),O142-T142,"미산정")</x:f>
        <x:v>6490</x:v>
      </x:c>
      <x:c r="X142" s="88" t="n">
        <x:f>IF(ISNUMBER(O142),O142-U142,"미산정")</x:f>
        <x:v>6490</x:v>
      </x:c>
    </x:row>
    <x:row r="143" ht="44" customHeight="1">
      <x:c r="A143" s="24" t="n">
        <x:v>133</x:v>
      </x:c>
      <x:c r="B143" s="24" t="str">
        <x:v>105동</x:v>
      </x:c>
      <x:c r="C143" s="13" t="str">
        <x:v>보·슬래브 철근배근</x:v>
      </x:c>
      <x:c r="D143" s="13" t="str">
        <x:v>RB-D22</x:v>
      </x:c>
      <x:c r="E143" s="13" t="str">
        <x:v>철근</x:v>
      </x:c>
      <x:c r="F143" s="13" t="str">
        <x:v>SD500 D22 / 부위별 공장 가공</x:v>
      </x:c>
      <x:c r="G143" s="13" t="str">
        <x:v>kg</x:v>
      </x:c>
      <x:c r="H143" s="17" t="n">
        <x:v>4860</x:v>
      </x:c>
      <x:c r="I143" s="26" t="n">
        <x:v>27</x:v>
      </x:c>
      <x:c r="J143" s="26" t="n">
        <x:v>29</x:v>
      </x:c>
      <x:c r="K143" s="26" t="n">
        <x:v>26</x:v>
      </x:c>
      <x:c r="L143" s="13" t="str">
        <x:v>철근</x:v>
      </x:c>
      <x:c r="M143" s="13" t="str">
        <x:v>D22</x:v>
      </x:c>
      <x:c r="N143" s="24" t="str">
        <x:v>반영</x:v>
      </x:c>
      <x:c r="O143" s="29" t="n">
        <x:f>IF(AND(N143="반영",ISNUMBER(H143)),H143,"미산정")</x:f>
        <x:v>4860</x:v>
      </x:c>
      <x:c r="P143" s="24" t="str">
        <x:v>미제공</x:v>
      </x:c>
      <x:c r="Q143" s="13" t="str">
        <x:v>등록 품목·규격과 일치</x:v>
      </x:c>
      <x:c r="R143" s="81" t="n">
        <x:f>K143</x:f>
        <x:v>26</x:v>
      </x:c>
      <x:c r="S143" s="83" t="n">
        <x:f>MAX(0,MIN(1,($B$15-I143+1)/(J143-I143+1)))</x:f>
        <x:v>0</x:v>
      </x:c>
      <x:c r="T143" s="87" t="n">
        <x:f>IF(ISNUMBER(O143),IF(R143&lt;=$B$15,O143,0),"미산정")</x:f>
        <x:v>0</x:v>
      </x:c>
      <x:c r="U143" s="87" t="n">
        <x:f>IF(ISNUMBER(O143),MIN(T143,ROUND(O143*S143,0)),"미산정")</x:f>
        <x:v>0</x:v>
      </x:c>
      <x:c r="V143" s="87" t="n">
        <x:f>IF(ISNUMBER(O143),T143-U143,"미산정")</x:f>
        <x:v>0</x:v>
      </x:c>
      <x:c r="W143" s="87" t="n">
        <x:f>IF(ISNUMBER(O143),O143-T143,"미산정")</x:f>
        <x:v>4860</x:v>
      </x:c>
      <x:c r="X143" s="87" t="n">
        <x:f>IF(ISNUMBER(O143),O143-U143,"미산정")</x:f>
        <x:v>4860</x:v>
      </x:c>
    </x:row>
    <x:row r="144" ht="44" customHeight="1">
      <x:c r="A144" s="25" t="n">
        <x:v>134</x:v>
      </x:c>
      <x:c r="B144" s="25" t="str">
        <x:v>105동</x:v>
      </x:c>
      <x:c r="C144" s="6" t="str">
        <x:v>보·슬래브 철근배근</x:v>
      </x:c>
      <x:c r="D144" s="6" t="str">
        <x:v>RB-D25</x:v>
      </x:c>
      <x:c r="E144" s="6" t="str">
        <x:v>철근</x:v>
      </x:c>
      <x:c r="F144" s="6" t="str">
        <x:v>SD500 D25 / 부위별 공장 가공</x:v>
      </x:c>
      <x:c r="G144" s="6" t="str">
        <x:v>kg</x:v>
      </x:c>
      <x:c r="H144" s="18" t="n">
        <x:v>3250</x:v>
      </x:c>
      <x:c r="I144" s="27" t="n">
        <x:v>27</x:v>
      </x:c>
      <x:c r="J144" s="27" t="n">
        <x:v>29</x:v>
      </x:c>
      <x:c r="K144" s="27" t="n">
        <x:v>26</x:v>
      </x:c>
      <x:c r="L144" s="6" t="str">
        <x:v>철근</x:v>
      </x:c>
      <x:c r="M144" s="6" t="str">
        <x:v>D25</x:v>
      </x:c>
      <x:c r="N144" s="25" t="str">
        <x:v>반영</x:v>
      </x:c>
      <x:c r="O144" s="30" t="n">
        <x:f>IF(AND(N144="반영",ISNUMBER(H144)),H144,"미산정")</x:f>
        <x:v>3250</x:v>
      </x:c>
      <x:c r="P144" s="25" t="str">
        <x:v>미제공</x:v>
      </x:c>
      <x:c r="Q144" s="6" t="str">
        <x:v>등록 품목·규격과 일치</x:v>
      </x:c>
      <x:c r="R144" s="81" t="n">
        <x:f>K144</x:f>
        <x:v>26</x:v>
      </x:c>
      <x:c r="S144" s="84" t="n">
        <x:f>MAX(0,MIN(1,($B$15-I144+1)/(J144-I144+1)))</x:f>
        <x:v>0</x:v>
      </x:c>
      <x:c r="T144" s="88" t="n">
        <x:f>IF(ISNUMBER(O144),IF(R144&lt;=$B$15,O144,0),"미산정")</x:f>
        <x:v>0</x:v>
      </x:c>
      <x:c r="U144" s="88" t="n">
        <x:f>IF(ISNUMBER(O144),MIN(T144,ROUND(O144*S144,0)),"미산정")</x:f>
        <x:v>0</x:v>
      </x:c>
      <x:c r="V144" s="88" t="n">
        <x:f>IF(ISNUMBER(O144),T144-U144,"미산정")</x:f>
        <x:v>0</x:v>
      </x:c>
      <x:c r="W144" s="88" t="n">
        <x:f>IF(ISNUMBER(O144),O144-T144,"미산정")</x:f>
        <x:v>3250</x:v>
      </x:c>
      <x:c r="X144" s="88" t="n">
        <x:f>IF(ISNUMBER(O144),O144-U144,"미산정")</x:f>
        <x:v>3250</x:v>
      </x:c>
    </x:row>
    <x:row r="145" ht="26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 ht="26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 ht="26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 ht="38" customHeight="1">
      <x:c r="A148" s="12" t="str">
        <x:v>등록 품목</x:v>
      </x:c>
      <x:c r="B148" s="12"/>
      <x:c r="C148" s="12"/>
      <x:c r="D148" s="12" t="str">
        <x:v>반영 행수</x:v>
      </x:c>
      <x:c r="E148" s="12" t="str">
        <x:v>자료 범위</x:v>
      </x:c>
      <x:c r="F148" s="12"/>
      <x:c r="G148" s="12"/>
      <x:c r="H148" s="12"/>
      <x:c r="I148" s="12"/>
      <x:c r="J148" s="12" t="str">
        <x:v>처리</x:v>
      </x:c>
      <x:c r="K148" s="12"/>
      <x:c r="L148" s="12"/>
      <x:c r="M148" s="12"/>
      <x:c r="N148" s="12"/>
      <x:c r="O148" s="12"/>
      <x:c r="P148" s="12"/>
      <x:c r="Q148" s="12"/>
    </x:row>
    <x:row r="149" ht="32" customHeight="1">
      <x:c r="A149" s="6" t="str">
        <x:v>철근</x:v>
      </x:c>
      <x:c r="B149" s="6"/>
      <x:c r="C149" s="6"/>
      <x:c r="D149" s="6" t="n">
        <x:f>COUNTIFS($L$17:$L$144,A149,$N$17:$N$144,"반영")</x:f>
        <x:v>48</x:v>
      </x:c>
      <x:c r="E149" s="6" t="str">
        <x:v>D10·13·16·19·22·25 / 길이 미제공</x:v>
      </x:c>
      <x:c r="F149" s="6"/>
      <x:c r="G149" s="6"/>
      <x:c r="H149" s="6"/>
      <x:c r="I149" s="6"/>
      <x:c r="J149" s="6" t="str">
        <x:v>위 표에 일치하는 규격만 반영. 나머지 등록 규격의 수량은 미산정.</x:v>
      </x:c>
      <x:c r="K149" s="6"/>
      <x:c r="L149" s="6"/>
      <x:c r="M149" s="6"/>
      <x:c r="N149" s="6"/>
      <x:c r="O149" s="6"/>
      <x:c r="P149" s="6"/>
      <x:c r="Q149" s="6"/>
    </x:row>
    <x:row r="150" ht="32" customHeight="1">
      <x:c r="A150" s="6" t="str">
        <x:v>갱폼</x:v>
      </x:c>
      <x:c r="B150" s="6"/>
      <x:c r="C150" s="6"/>
      <x:c r="D150" s="6" t="n">
        <x:f>COUNTIFS($L$17:$L$144,A150,$N$17:$N$144,"반영")</x:f>
        <x:v>0</x:v>
      </x:c>
      <x:c r="E150" s="6" t="str">
        <x:v>일치하는 규격별 물량 미제공</x:v>
      </x:c>
      <x:c r="F150" s="6"/>
      <x:c r="G150" s="6"/>
      <x:c r="H150" s="6"/>
      <x:c r="I150" s="6"/>
      <x:c r="J150" s="6" t="str">
        <x:v>미산정 · 다른 품목의 물량을 전환하거나 0으로 간주하지 않음</x:v>
      </x:c>
      <x:c r="K150" s="6"/>
      <x:c r="L150" s="6"/>
      <x:c r="M150" s="6"/>
      <x:c r="N150" s="6"/>
      <x:c r="O150" s="6"/>
      <x:c r="P150" s="6"/>
      <x:c r="Q150" s="6"/>
    </x:row>
    <x:row r="151" ht="32" customHeight="1">
      <x:c r="A151" s="6" t="str">
        <x:v>유로폼</x:v>
      </x:c>
      <x:c r="B151" s="6"/>
      <x:c r="C151" s="6"/>
      <x:c r="D151" s="6" t="n">
        <x:f>COUNTIFS($L$17:$L$144,A151,$N$17:$N$144,"반영")</x:f>
        <x:v>12</x:v>
      </x:c>
      <x:c r="E151" s="6" t="str">
        <x:v>500×1200·600×1200·300×1200</x:v>
      </x:c>
      <x:c r="F151" s="6"/>
      <x:c r="G151" s="6"/>
      <x:c r="H151" s="6"/>
      <x:c r="I151" s="6"/>
      <x:c r="J151" s="6" t="str">
        <x:v>위 표에 일치하는 규격만 반영. 나머지 등록 규격의 수량은 미산정.</x:v>
      </x:c>
      <x:c r="K151" s="6"/>
      <x:c r="L151" s="6"/>
      <x:c r="M151" s="6"/>
      <x:c r="N151" s="6"/>
      <x:c r="O151" s="6"/>
      <x:c r="P151" s="6"/>
      <x:c r="Q151" s="6"/>
    </x:row>
    <x:row r="152" ht="32" customHeight="1">
      <x:c r="A152" s="6" t="str">
        <x:v>알폼</x:v>
      </x:c>
      <x:c r="B152" s="6"/>
      <x:c r="C152" s="6"/>
      <x:c r="D152" s="6" t="n">
        <x:f>COUNTIFS($L$17:$L$144,A152,$N$17:$N$144,"반영")</x:f>
        <x:v>0</x:v>
      </x:c>
      <x:c r="E152" s="6" t="str">
        <x:v>일치하는 규격별 물량 미제공</x:v>
      </x:c>
      <x:c r="F152" s="6"/>
      <x:c r="G152" s="6"/>
      <x:c r="H152" s="6"/>
      <x:c r="I152" s="6"/>
      <x:c r="J152" s="6" t="str">
        <x:v>미산정 · 다른 품목의 물량을 전환하거나 0으로 간주하지 않음</x:v>
      </x:c>
      <x:c r="K152" s="6"/>
      <x:c r="L152" s="6"/>
      <x:c r="M152" s="6"/>
      <x:c r="N152" s="6"/>
      <x:c r="O152" s="6"/>
      <x:c r="P152" s="6"/>
      <x:c r="Q152" s="6"/>
    </x:row>
    <x:row r="153" ht="32" customHeight="1">
      <x:c r="A153" s="6" t="str">
        <x:v>강관파이프</x:v>
      </x:c>
      <x:c r="B153" s="6"/>
      <x:c r="C153" s="6"/>
      <x:c r="D153" s="6" t="n">
        <x:f>COUNTIFS($L$17:$L$144,A153,$N$17:$N$144,"반영")</x:f>
        <x:v>0</x:v>
      </x:c>
      <x:c r="E153" s="6" t="str">
        <x:v>일치하는 규격별 물량 미제공</x:v>
      </x:c>
      <x:c r="F153" s="6"/>
      <x:c r="G153" s="6"/>
      <x:c r="H153" s="6"/>
      <x:c r="I153" s="6"/>
      <x:c r="J153" s="6" t="str">
        <x:v>미산정 · 다른 품목의 물량을 전환하거나 0으로 간주하지 않음</x:v>
      </x:c>
      <x:c r="K153" s="6"/>
      <x:c r="L153" s="6"/>
      <x:c r="M153" s="6"/>
      <x:c r="N153" s="6"/>
      <x:c r="O153" s="6"/>
      <x:c r="P153" s="6"/>
      <x:c r="Q153" s="6"/>
    </x:row>
    <x:row r="154" ht="32" customHeight="1">
      <x:c r="A154" s="6" t="str">
        <x:v>서포트</x:v>
      </x:c>
      <x:c r="B154" s="6"/>
      <x:c r="C154" s="6"/>
      <x:c r="D154" s="6" t="n">
        <x:f>COUNTIFS($L$17:$L$144,A154,$N$17:$N$144,"반영")</x:f>
        <x:v>0</x:v>
      </x:c>
      <x:c r="E154" s="6" t="str">
        <x:v>일치하는 규격별 물량 미제공</x:v>
      </x:c>
      <x:c r="F154" s="6"/>
      <x:c r="G154" s="6"/>
      <x:c r="H154" s="6"/>
      <x:c r="I154" s="6"/>
      <x:c r="J154" s="6" t="str">
        <x:v>미산정 · 다른 품목의 물량을 전환하거나 0으로 간주하지 않음</x:v>
      </x:c>
      <x:c r="K154" s="6"/>
      <x:c r="L154" s="6"/>
      <x:c r="M154" s="6"/>
      <x:c r="N154" s="6"/>
      <x:c r="O154" s="6"/>
      <x:c r="P154" s="6"/>
      <x:c r="Q154" s="6"/>
    </x:row>
    <x:row r="155" ht="32" customHeight="1">
      <x:c r="A155" s="6" t="str">
        <x:v>알루미늄 잭서포트</x:v>
      </x:c>
      <x:c r="B155" s="6"/>
      <x:c r="C155" s="6"/>
      <x:c r="D155" s="6" t="n">
        <x:f>COUNTIFS($L$17:$L$144,A155,$N$17:$N$144,"반영")</x:f>
        <x:v>0</x:v>
      </x:c>
      <x:c r="E155" s="6" t="str">
        <x:v>일치하는 규격별 물량 미제공</x:v>
      </x:c>
      <x:c r="F155" s="6"/>
      <x:c r="G155" s="6"/>
      <x:c r="H155" s="6"/>
      <x:c r="I155" s="6"/>
      <x:c r="J155" s="6" t="str">
        <x:v>미산정 · 다른 품목의 물량을 전환하거나 0으로 간주하지 않음</x:v>
      </x:c>
      <x:c r="K155" s="6"/>
      <x:c r="L155" s="6"/>
      <x:c r="M155" s="6"/>
      <x:c r="N155" s="6"/>
      <x:c r="O155" s="6"/>
      <x:c r="P155" s="6"/>
      <x:c r="Q155" s="6"/>
    </x:row>
    <x:row r="156" ht="32" customHeight="1">
      <x:c r="A156" s="6" t="str">
        <x:v>안전발판</x:v>
      </x:c>
      <x:c r="B156" s="6"/>
      <x:c r="C156" s="6"/>
      <x:c r="D156" s="6" t="n">
        <x:f>COUNTIFS($L$17:$L$144,A156,$N$17:$N$144,"반영")</x:f>
        <x:v>0</x:v>
      </x:c>
      <x:c r="E156" s="6" t="str">
        <x:v>일치하는 규격별 물량 미제공</x:v>
      </x:c>
      <x:c r="F156" s="6"/>
      <x:c r="G156" s="6"/>
      <x:c r="H156" s="6"/>
      <x:c r="I156" s="6"/>
      <x:c r="J156" s="6" t="str">
        <x:v>미산정 · 다른 품목의 물량을 전환하거나 0으로 간주하지 않음</x:v>
      </x:c>
      <x:c r="K156" s="6"/>
      <x:c r="L156" s="6"/>
      <x:c r="M156" s="6"/>
      <x:c r="N156" s="6"/>
      <x:c r="O156" s="6"/>
      <x:c r="P156" s="6"/>
      <x:c r="Q156" s="6"/>
    </x:row>
    <x:row r="157" ht="32" customHeight="1">
      <x:c r="A157" s="6" t="str">
        <x:v>시스템비계</x:v>
      </x:c>
      <x:c r="B157" s="6"/>
      <x:c r="C157" s="6"/>
      <x:c r="D157" s="6" t="n">
        <x:f>COUNTIFS($L$17:$L$144,A157,$N$17:$N$144,"반영")</x:f>
        <x:v>0</x:v>
      </x:c>
      <x:c r="E157" s="6" t="str">
        <x:v>일치하는 규격별 물량 미제공</x:v>
      </x:c>
      <x:c r="F157" s="6"/>
      <x:c r="G157" s="6"/>
      <x:c r="H157" s="6"/>
      <x:c r="I157" s="6"/>
      <x:c r="J157" s="6" t="str">
        <x:v>미산정 · 다른 품목의 물량을 전환하거나 0으로 간주하지 않음</x:v>
      </x:c>
      <x:c r="K157" s="6"/>
      <x:c r="L157" s="6"/>
      <x:c r="M157" s="6"/>
      <x:c r="N157" s="6"/>
      <x:c r="O157" s="6"/>
      <x:c r="P157" s="6"/>
      <x:c r="Q157" s="6"/>
    </x:row>
    <x:row r="158" ht="32" customHeight="1">
      <x:c r="A158" s="6" t="str">
        <x:v>시스템서포트</x:v>
      </x:c>
      <x:c r="B158" s="6"/>
      <x:c r="C158" s="6"/>
      <x:c r="D158" s="6" t="n">
        <x:f>COUNTIFS($L$17:$L$144,A158,$N$17:$N$144,"반영")</x:f>
        <x:v>12</x:v>
      </x:c>
      <x:c r="E158" s="6" t="str">
        <x:v>상부자키·하부자키·카플링</x:v>
      </x:c>
      <x:c r="F158" s="6"/>
      <x:c r="G158" s="6"/>
      <x:c r="H158" s="6"/>
      <x:c r="I158" s="6"/>
      <x:c r="J158" s="6" t="str">
        <x:v>위 표에 일치하는 규격만 반영. 나머지 등록 규격의 수량은 미산정.</x:v>
      </x:c>
      <x:c r="K158" s="6"/>
      <x:c r="L158" s="6"/>
      <x:c r="M158" s="6"/>
      <x:c r="N158" s="6"/>
      <x:c r="O158" s="6"/>
      <x:c r="P158" s="6"/>
      <x:c r="Q158" s="6"/>
    </x:row>
    <x:row r="159" ht="26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 ht="26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 ht="26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 ht="26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</x:sheetData>
  <x:mergeCells>
    <x:mergeCell ref="A3:Q3"/>
    <x:mergeCell ref="A4:Q4"/>
    <x:mergeCell ref="A5:Q5"/>
    <x:mergeCell ref="A6:Q6"/>
    <x:mergeCell ref="A7:Q7"/>
    <x:mergeCell ref="A8:Q8"/>
    <x:mergeCell ref="C9:Q9"/>
    <x:mergeCell ref="C10:Q10"/>
    <x:mergeCell ref="A11:Q11"/>
    <x:mergeCell ref="A12:Q12"/>
    <x:mergeCell ref="A13:Q13"/>
    <x:mergeCell ref="A148:C148"/>
    <x:mergeCell ref="E148:I148"/>
    <x:mergeCell ref="J148:Q148"/>
    <x:mergeCell ref="A149:C149"/>
    <x:mergeCell ref="E149:I149"/>
    <x:mergeCell ref="J149:Q149"/>
    <x:mergeCell ref="A150:C150"/>
    <x:mergeCell ref="E150:I150"/>
    <x:mergeCell ref="J150:Q150"/>
    <x:mergeCell ref="A151:C151"/>
    <x:mergeCell ref="E151:I151"/>
    <x:mergeCell ref="J151:Q151"/>
    <x:mergeCell ref="A152:C152"/>
    <x:mergeCell ref="E152:I152"/>
    <x:mergeCell ref="J152:Q152"/>
    <x:mergeCell ref="A153:C153"/>
    <x:mergeCell ref="E153:I153"/>
    <x:mergeCell ref="J153:Q153"/>
    <x:mergeCell ref="A154:C154"/>
    <x:mergeCell ref="E154:I154"/>
    <x:mergeCell ref="J154:Q154"/>
    <x:mergeCell ref="A155:C155"/>
    <x:mergeCell ref="E155:I155"/>
    <x:mergeCell ref="J155:Q155"/>
    <x:mergeCell ref="A156:C156"/>
    <x:mergeCell ref="E156:I156"/>
    <x:mergeCell ref="J156:Q156"/>
    <x:mergeCell ref="A157:C157"/>
    <x:mergeCell ref="E157:I157"/>
    <x:mergeCell ref="J157:Q157"/>
    <x:mergeCell ref="A158:C158"/>
    <x:mergeCell ref="E158:I158"/>
    <x:mergeCell ref="J158:Q158"/>
    <x:mergeCell ref="C15:Q15"/>
  </x:mergeCells>
  <x:dataValidations count="1">
    <x:dataValidation type="whole" operator="between" sqref="B15">
      <x:formula1>0</x:formula1>
      <x:formula2>70</x:formula2>
    </x:dataValidation>
  </x:dataValidations>
  <x:pageMargins left="0.7" right="0.7" top="0.75" bottom="0.75" header="0.3" footer="0.3"/>
</x:worksheet>
</file>