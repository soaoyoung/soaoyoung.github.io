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f02cb5f9d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정표" sheetId="1" r:id="Rf270e73fe69f467d"/>
    <x:sheet xmlns:r="http://schemas.openxmlformats.org/officeDocument/2006/relationships" name="공정별자재사용" sheetId="2" r:id="Rd6b040382fc441b6"/>
    <x:sheet xmlns:r="http://schemas.openxmlformats.org/officeDocument/2006/relationships" name="원자료·매핑" sheetId="3" r:id="Rd570ccfdcc4d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&quot;WD &quot;0"/>
    <x:numFmt numFmtId="203" formatCode="0%"/>
  </x:numFmts>
  <x:fonts count="12">
    <x:font>
      <x:sz val="11"/>
      <x:name val="Carlito"/>
    </x:font>
    <x:font>
      <x:sz val="10"/>
      <x:color rgb="FF213C30"/>
      <x:name val="Arial"/>
    </x:font>
    <x:font>
      <x:b/>
      <x:sz val="16"/>
      <x:color rgb="FF245F49"/>
      <x:name val="Arial"/>
    </x:font>
    <x:font>
      <x:sz val="10"/>
      <x:color rgb="FF607568"/>
      <x:name val="Arial"/>
    </x:font>
    <x:font>
      <x:b/>
      <x:sz val="10"/>
      <x:color rgb="FFFFFFFF"/>
      <x:name val="Arial"/>
    </x:font>
    <x:font>
      <x:sz val="10"/>
      <x:color rgb="FF175A91"/>
      <x:name val="Arial"/>
    </x:font>
    <x:font>
      <x:b/>
      <x:sz val="10"/>
      <x:color rgb="FF213C30"/>
      <x:name val="Arial"/>
    </x:font>
    <x:font>
      <x:b/>
      <x:sz val="10"/>
      <x:color rgb="FF175A91"/>
      <x:name val="Arial"/>
    </x:font>
    <x:font>
      <x:sz val="10"/>
      <x:color rgb="FF213C30"/>
      <x:name val="Malgun Gothic"/>
    </x:font>
    <x:font>
      <x:b/>
      <x:sz val="10"/>
      <x:color rgb="FFFFFFFF"/>
      <x:name val="Malgun Gothic"/>
    </x:font>
    <x:font>
      <x:sz val="10"/>
      <x:color rgb="FF175A91"/>
      <x:name val="Malgun Gothic"/>
    </x:font>
    <x:font>
      <x:b/>
      <x:sz val="10"/>
      <x:color rgb="FF213C30"/>
      <x:name val="Malgun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245F49"/>
      </x:patternFill>
    </x:fill>
    <x:fill>
      <x:patternFill patternType="solid">
        <x:fgColor rgb="FFF2F7FA"/>
      </x:patternFill>
    </x:fill>
    <x:fill>
      <x:patternFill patternType="solid">
        <x:fgColor rgb="FFFFF2CF"/>
      </x:patternFill>
    </x:fill>
    <x:fill>
      <x:patternFill patternType="solid">
        <x:fgColor rgb="FFEAF3EC"/>
      </x:patternFill>
    </x:fill>
    <x:fill>
      <x:patternFill patternType="solid">
        <x:fgColor rgb="FFFFF2CF"/>
      </x:patternFill>
    </x:fill>
    <x:fill>
      <x:patternFill patternType="solid">
        <x:fgColor rgb="FF245F49"/>
      </x:patternFill>
    </x:fill>
    <x:fill>
      <x:patternFill patternType="solid">
        <x:fgColor rgb="FFF2F7FA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5A48F"/>
      </x:top>
      <x:bottom/>
      <x:diagonal/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2" fontId="1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2" fontId="1" fillId="3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202" fontId="1" fillId="3" borderId="1" xfId="0" applyNumberFormat="1" applyFont="1" applyFill="1" applyBorder="1" applyAlignment="1">
      <x:alignment horizontal="center" vertical="center" wrapText="1"/>
    </x:xf>
    <x:xf numFmtId="201" fontId="1" fillId="3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3" borderId="1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202" fontId="7" fillId="6" borderId="0" xfId="0" applyNumberFormat="1" applyFont="1" applyFill="1" applyBorder="1" applyAlignment="1">
      <x:alignment horizontal="center" vertical="center"/>
    </x:xf>
    <x:xf numFmtId="202" fontId="7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2" fontId="10" fillId="6" borderId="0" xfId="0" applyNumberFormat="1" applyFont="1" applyFill="1" applyBorder="1" applyAlignment="1">
      <x:alignment vertical="center" wrapText="1"/>
    </x:xf>
    <x:xf numFmtId="203" fontId="8" fillId="8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1" fontId="8" fillId="8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1" fontId="8" fillId="8" borderId="0" xfId="0" applyNumberFormat="1" applyFont="1" applyFill="1" applyBorder="1" applyAlignment="1">
      <x:alignment horizontal="right" vertical="center" wrapText="1"/>
    </x:xf>
    <x:xf numFmtId="201" fontId="8" fillId="0" borderId="0" xfId="0" applyNumberFormat="1" applyFont="1" applyFill="1" applyBorder="1" applyAlignment="1">
      <x:alignment horizontal="right" vertical="center" wrapText="1"/>
    </x:xf>
    <x:xf numFmtId="200" fontId="8" fillId="8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3" fontId="11" fillId="8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  <x:xf numFmtId="203" fontId="11" fillId="8" borderId="0" xfId="0" applyNumberFormat="1" applyFont="1" applyFill="1" applyBorder="1" applyAlignment="1">
      <x:alignment horizontal="center" vertical="center" wrapText="1"/>
    </x:xf>
    <x:xf numFmtId="203" fontId="1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8E5A14"/>
      </x:font>
      <x:fill>
        <x:patternFill>
          <x:bgColor rgb="FFFFF2CF"/>
        </x:patternFill>
      </x:fill>
    </x:dxf>
    <x:dxf>
      <x:font>
        <x:color rgb="FF8E5A14"/>
      </x:font>
      <x:fill>
        <x:patternFill>
          <x:bgColor rgb="FFFFF2CF"/>
        </x:patternFill>
      </x:fill>
    </x:dxf>
    <x:dxf>
      <x:font>
        <x:b/>
        <x:color rgb="FF805411"/>
      </x:font>
      <x:fill>
        <x:patternFill patternType="solid">
          <x:bgColor rgb="FFFFF2CF"/>
        </x:patternFill>
      </x:fill>
    </x:dxf>
    <x:dxf>
      <x:font>
        <x:color rgb="FF245F49"/>
      </x:font>
      <x:fill>
        <x:patternFill patternType="solid">
          <x:bgColor rgb="FFE2EE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e04f4636d420b" /><Relationship Type="http://schemas.openxmlformats.org/officeDocument/2006/relationships/theme" Target="/xl/theme/theme1.xml" Id="Rfeb2d9a8122b4aa8" /><Relationship Type="http://schemas.openxmlformats.org/officeDocument/2006/relationships/sharedStrings" Target="/xl/sharedStrings.xml" Id="R9d8a589f4cfc4355" /><Relationship Type="http://schemas.openxmlformats.org/officeDocument/2006/relationships/worksheet" Target="/xl/worksheets/sheet1.xml" Id="Rf270e73fe69f467d" /><Relationship Type="http://schemas.openxmlformats.org/officeDocument/2006/relationships/worksheet" Target="/xl/worksheets/sheet2.xml" Id="Rd6b040382fc441b6" /><Relationship Type="http://schemas.openxmlformats.org/officeDocument/2006/relationships/worksheet" Target="/xl/worksheets/sheet3.xml" Id="Rd570ccfdcc4d4f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F4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.5" hidden="0" customWidth="1"/>
    <x:col min="2" max="2" width="9.380000114440918" hidden="0" customWidth="1"/>
    <x:col min="3" max="3" width="23.75" hidden="0" customWidth="1"/>
    <x:col min="4" max="4" width="9.25" hidden="0" customWidth="1"/>
    <x:col min="5" max="5" width="9.25" hidden="0" customWidth="1"/>
    <x:col min="6" max="6" width="8.380000114440918" hidden="0" customWidth="1"/>
    <x:col min="7" max="7" width="12.5" hidden="0" customWidth="1"/>
    <x:col min="8" max="8" width="12.25" hidden="0" customWidth="1"/>
    <x:col min="9" max="9" width="11.75" hidden="0" customWidth="1"/>
    <x:col min="10" max="10" width="11.75" hidden="0" customWidth="1"/>
    <x:col min="11" max="11" width="11.75" hidden="0" customWidth="1"/>
    <x:col min="12" max="12" width="11.880000114440918" hidden="0" customWidth="1"/>
    <x:col min="13" max="13" width="53.75" hidden="0" customWidth="1"/>
    <x:col min="14" max="14" width="13.130000114440918" hidden="0" customWidth="1"/>
    <x:col min="15" max="15" width="13.130000114440918" hidden="0" customWidth="1"/>
    <x:col min="16" max="16" width="13.13000011444091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3" t="str">
        <x:v>113·112·104·105동 1층 골조 공정표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8" customHeight="1">
      <x:c r="A3" s="5" t="str">
        <x:f>"가상 진행 WD "&amp;'원자료·매핑'!$B$15&amp;" 기준 / 104·105동 초기 골조 시나리오 / 원래 총계획량 유지"</x:f>
        <x:v>가상 진행 WD 10 기준 / 104·105동 초기 골조 시나리오 / 원래 총계획량 유지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8" customHeight="1">
      <x:c r="A4" s="5" t="str">
        <x:v>사진은 자재 야적·준비 상태 참고용. 기성률은 기간 비례 가정이며 실제 실적 아님. 현재 사용량·야적재고는 공정별자재사용 참조.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12" t="str">
        <x:v>번호</x:v>
      </x:c>
      <x:c r="B6" s="12" t="str">
        <x:v>동</x:v>
      </x:c>
      <x:c r="C6" s="12" t="str">
        <x:v>공정</x:v>
      </x:c>
      <x:c r="D6" s="12" t="str">
        <x:v>착수 WD</x:v>
      </x:c>
      <x:c r="E6" s="12" t="str">
        <x:v>완료 WD</x:v>
      </x:c>
      <x:c r="F6" s="12" t="str">
        <x:v>기간 WD</x:v>
      </x:c>
      <x:c r="G6" s="12" t="str">
        <x:v>철근 kg</x:v>
      </x:c>
      <x:c r="H6" s="12" t="str">
        <x:v>유로폼 장</x:v>
      </x:c>
      <x:c r="I6" s="12" t="str">
        <x:v>상부자키 개</x:v>
      </x:c>
      <x:c r="J6" s="12" t="str">
        <x:v>하부자키 개</x:v>
      </x:c>
      <x:c r="K6" s="12" t="str">
        <x:v>카플링 개</x:v>
      </x:c>
      <x:c r="L6" s="12" t="str">
        <x:v>물량 반영</x:v>
      </x:c>
      <x:c r="M6" s="12" t="str">
        <x:v>공정별 자재 사용 계획</x:v>
      </x:c>
      <x:c r="N6" s="61" t="str">
        <x:v>가정 기성률</x:v>
      </x:c>
      <x:c r="O6" s="61" t="str">
        <x:v>진행 상태</x:v>
      </x:c>
      <x:c r="P6" s="61" t="str">
        <x:v>잔여 작업일</x:v>
      </x:c>
    </x:row>
    <x:row r="7" ht="58" customHeight="1">
      <x:c r="A7" s="38" t="n">
        <x:v>1</x:v>
      </x:c>
      <x:c r="B7" s="38" t="str">
        <x:v>113동</x:v>
      </x:c>
      <x:c r="C7" s="34" t="str">
        <x:v>준비·먹매김</x:v>
      </x:c>
      <x:c r="D7" s="39" t="n">
        <x:v>41</x:v>
      </x:c>
      <x:c r="E7" s="39" t="n">
        <x:v>42</x:v>
      </x:c>
      <x:c r="F7" s="40" t="n">
        <x:f>E7-D7+1</x:f>
        <x:v>2</x:v>
      </x:c>
      <x:c r="G7" s="43" t="str">
        <x:f>IF(COUNTIFS('원자료·매핑'!$B$17:$B$144,$B7,'원자료·매핑'!$C$17:$C$144,$C7,'원자료·매핑'!$L$17:$L$144,"철근")=0,"—",IF(COUNTIFS('원자료·매핑'!$B$17:$B$144,$B7,'원자료·매핑'!$C$17:$C$144,$C7,'원자료·매핑'!$L$17:$L$144,"철근",'원자료·매핑'!$O$17:$O$144,"미산정")&gt;0,"미산정",SUMIFS('원자료·매핑'!$O$17:$O$144,'원자료·매핑'!$B$17:$B$144,$B7,'원자료·매핑'!$C$17:$C$144,$C7,'원자료·매핑'!$L$17:$L$144,"철근")))</x:f>
        <x:v>—</x:v>
      </x:c>
      <x:c r="H7" s="43" t="str">
        <x:f>IF(COUNTIFS('원자료·매핑'!$B$17:$B$144,$B7,'원자료·매핑'!$C$17:$C$144,$C7,'원자료·매핑'!$L$17:$L$144,"유로폼")=0,"—",IF(COUNTIFS('원자료·매핑'!$B$17:$B$144,$B7,'원자료·매핑'!$C$17:$C$144,$C7,'원자료·매핑'!$L$17:$L$144,"유로폼",'원자료·매핑'!$O$17:$O$144,"미산정")&gt;0,"미산정",SUMIFS('원자료·매핑'!$O$17:$O$144,'원자료·매핑'!$B$17:$B$144,$B7,'원자료·매핑'!$C$17:$C$144,$C7,'원자료·매핑'!$L$17:$L$144,"유로폼")))</x:f>
        <x:v>—</x:v>
      </x:c>
      <x:c r="I7" s="43" t="str">
        <x:f>IF(COUNTIFS('원자료·매핑'!$B$17:$B$144,$B7,'원자료·매핑'!$C$17:$C$144,$C7,'원자료·매핑'!$L$17:$L$144,"시스템서포트",'원자료·매핑'!$M$17:$M$144,"동바리 상부자키")=0,"—",IF(COUNTIFS('원자료·매핑'!$B$17:$B$144,$B7,'원자료·매핑'!$C$17:$C$144,$C7,'원자료·매핑'!$L$17:$L$144,"시스템서포트",'원자료·매핑'!$M$17:$M$144,"동바리 상부자키",'원자료·매핑'!$O$17:$O$144,"미산정")&gt;0,"미산정",SUMIFS('원자료·매핑'!$O$17:$O$144,'원자료·매핑'!$B$17:$B$144,$B7,'원자료·매핑'!$C$17:$C$144,$C7,'원자료·매핑'!$L$17:$L$144,"시스템서포트",'원자료·매핑'!$M$17:$M$144,"동바리 상부자키")))</x:f>
        <x:v>—</x:v>
      </x:c>
      <x:c r="J7" s="43" t="str">
        <x:f>IF(COUNTIFS('원자료·매핑'!$B$17:$B$144,$B7,'원자료·매핑'!$C$17:$C$144,$C7,'원자료·매핑'!$L$17:$L$144,"시스템서포트",'원자료·매핑'!$M$17:$M$144,"동바리 하부자키")=0,"—",IF(COUNTIFS('원자료·매핑'!$B$17:$B$144,$B7,'원자료·매핑'!$C$17:$C$144,$C7,'원자료·매핑'!$L$17:$L$144,"시스템서포트",'원자료·매핑'!$M$17:$M$144,"동바리 하부자키",'원자료·매핑'!$O$17:$O$144,"미산정")&gt;0,"미산정",SUMIFS('원자료·매핑'!$O$17:$O$144,'원자료·매핑'!$B$17:$B$144,$B7,'원자료·매핑'!$C$17:$C$144,$C7,'원자료·매핑'!$L$17:$L$144,"시스템서포트",'원자료·매핑'!$M$17:$M$144,"동바리 하부자키")))</x:f>
        <x:v>—</x:v>
      </x:c>
      <x:c r="K7" s="43" t="str">
        <x:f>IF(COUNTIFS('원자료·매핑'!$B$17:$B$144,$B7,'원자료·매핑'!$C$17:$C$144,$C7,'원자료·매핑'!$L$17:$L$144,"시스템서포트",'원자료·매핑'!$M$17:$M$144,"카플링(소켓)")=0,"—",IF(COUNTIFS('원자료·매핑'!$B$17:$B$144,$B7,'원자료·매핑'!$C$17:$C$144,$C7,'원자료·매핑'!$L$17:$L$144,"시스템서포트",'원자료·매핑'!$M$17:$M$144,"카플링(소켓)",'원자료·매핑'!$O$17:$O$144,"미산정")&gt;0,"미산정",SUMIFS('원자료·매핑'!$O$17:$O$144,'원자료·매핑'!$B$17:$B$144,$B7,'원자료·매핑'!$C$17:$C$144,$C7,'원자료·매핑'!$L$17:$L$144,"시스템서포트",'원자료·매핑'!$M$17:$M$144,"카플링(소켓)")))</x:f>
        <x:v>—</x:v>
      </x:c>
      <x:c r="L7" s="38" t="str">
        <x:f>IF(COUNTIFS('원자료·매핑'!$B$17:$B$144,$B7,'원자료·매핑'!$C$17:$C$144,$C7)=0,"신규 없음",IF(COUNTIFS('원자료·매핑'!$B$17:$B$144,$B7,'원자료·매핑'!$C$17:$C$144,$C7,'원자료·매핑'!$N$17:$N$144,"미산정")+COUNTIFS('원자료·매핑'!$B$17:$B$144,$B7,'원자료·매핑'!$C$17:$C$144,$C7,'원자료·매핑'!$N$17:$N$144,"반영",'원자료·매핑'!$O$17:$O$144,"미산정")=COUNTIFS('원자료·매핑'!$B$17:$B$144,$B7,'원자료·매핑'!$C$17:$C$144,$C7),"미산정",IF(COUNTIFS('원자료·매핑'!$B$17:$B$144,$B7,'원자료·매핑'!$C$17:$C$144,$C7,'원자료·매핑'!$N$17:$N$144,"미산정")+COUNTIFS('원자료·매핑'!$B$17:$B$144,$B7,'원자료·매핑'!$C$17:$C$144,$C7,'원자료·매핑'!$N$17:$N$144,"반영",'원자료·매핑'!$O$17:$O$144,"미산정")&gt;0,"일부 반영","반영")))</x:f>
        <x:v>신규 없음</x:v>
      </x:c>
      <x:c r="M7" s="34" t="str">
        <x:v>등록 자재 신규 투입 계획 없음.</x:v>
      </x:c>
      <x:c r="N7" s="77" t="n">
        <x:f>MAX(0,MIN(1,('원자료·매핑'!$B$15-D7+1)/(E7-D7+1)))</x:f>
        <x:v>0</x:v>
      </x:c>
      <x:c r="O7" s="62" t="str">
        <x:f>IF(N7=0,"착수 전",IF(N7=1,"완료(가정)","진행 중(가정)"))</x:f>
        <x:v>착수 전</x:v>
      </x:c>
      <x:c r="P7" s="73" t="n">
        <x:f>MAX(0,E7-MAX(D7-1,'원자료·매핑'!$B$15))</x:f>
        <x:v>2</x:v>
      </x:c>
    </x:row>
    <x:row r="8" ht="58" customHeight="1">
      <x:c r="A8" s="25" t="n">
        <x:v>2</x:v>
      </x:c>
      <x:c r="B8" s="25" t="str">
        <x:v>113동</x:v>
      </x:c>
      <x:c r="C8" s="6" t="str">
        <x:v>벽체·기둥 철근배근</x:v>
      </x:c>
      <x:c r="D8" s="27" t="n">
        <x:v>43</x:v>
      </x:c>
      <x:c r="E8" s="27" t="n">
        <x:v>47</x:v>
      </x:c>
      <x:c r="F8" s="41" t="n">
        <x:f>E8-D8+1</x:f>
        <x:v>5</x:v>
      </x:c>
      <x:c r="G8" s="30" t="n">
        <x:f>IF(COUNTIFS('원자료·매핑'!$B$17:$B$144,$B8,'원자료·매핑'!$C$17:$C$144,$C8,'원자료·매핑'!$L$17:$L$144,"철근")=0,"—",IF(COUNTIFS('원자료·매핑'!$B$17:$B$144,$B8,'원자료·매핑'!$C$17:$C$144,$C8,'원자료·매핑'!$L$17:$L$144,"철근",'원자료·매핑'!$O$17:$O$144,"미산정")&gt;0,"미산정",SUMIFS('원자료·매핑'!$O$17:$O$144,'원자료·매핑'!$B$17:$B$144,$B8,'원자료·매핑'!$C$17:$C$144,$C8,'원자료·매핑'!$L$17:$L$144,"철근")))</x:f>
        <x:v>19390</x:v>
      </x:c>
      <x:c r="H8" s="30" t="str">
        <x:f>IF(COUNTIFS('원자료·매핑'!$B$17:$B$144,$B8,'원자료·매핑'!$C$17:$C$144,$C8,'원자료·매핑'!$L$17:$L$144,"유로폼")=0,"—",IF(COUNTIFS('원자료·매핑'!$B$17:$B$144,$B8,'원자료·매핑'!$C$17:$C$144,$C8,'원자료·매핑'!$L$17:$L$144,"유로폼",'원자료·매핑'!$O$17:$O$144,"미산정")&gt;0,"미산정",SUMIFS('원자료·매핑'!$O$17:$O$144,'원자료·매핑'!$B$17:$B$144,$B8,'원자료·매핑'!$C$17:$C$144,$C8,'원자료·매핑'!$L$17:$L$144,"유로폼")))</x:f>
        <x:v>—</x:v>
      </x:c>
      <x:c r="I8" s="30" t="str">
        <x:f>IF(COUNTIFS('원자료·매핑'!$B$17:$B$144,$B8,'원자료·매핑'!$C$17:$C$144,$C8,'원자료·매핑'!$L$17:$L$144,"시스템서포트",'원자료·매핑'!$M$17:$M$144,"동바리 상부자키")=0,"—",IF(COUNTIFS('원자료·매핑'!$B$17:$B$144,$B8,'원자료·매핑'!$C$17:$C$144,$C8,'원자료·매핑'!$L$17:$L$144,"시스템서포트",'원자료·매핑'!$M$17:$M$144,"동바리 상부자키",'원자료·매핑'!$O$17:$O$144,"미산정")&gt;0,"미산정",SUMIFS('원자료·매핑'!$O$17:$O$144,'원자료·매핑'!$B$17:$B$144,$B8,'원자료·매핑'!$C$17:$C$144,$C8,'원자료·매핑'!$L$17:$L$144,"시스템서포트",'원자료·매핑'!$M$17:$M$144,"동바리 상부자키")))</x:f>
        <x:v>—</x:v>
      </x:c>
      <x:c r="J8" s="30" t="str">
        <x:f>IF(COUNTIFS('원자료·매핑'!$B$17:$B$144,$B8,'원자료·매핑'!$C$17:$C$144,$C8,'원자료·매핑'!$L$17:$L$144,"시스템서포트",'원자료·매핑'!$M$17:$M$144,"동바리 하부자키")=0,"—",IF(COUNTIFS('원자료·매핑'!$B$17:$B$144,$B8,'원자료·매핑'!$C$17:$C$144,$C8,'원자료·매핑'!$L$17:$L$144,"시스템서포트",'원자료·매핑'!$M$17:$M$144,"동바리 하부자키",'원자료·매핑'!$O$17:$O$144,"미산정")&gt;0,"미산정",SUMIFS('원자료·매핑'!$O$17:$O$144,'원자료·매핑'!$B$17:$B$144,$B8,'원자료·매핑'!$C$17:$C$144,$C8,'원자료·매핑'!$L$17:$L$144,"시스템서포트",'원자료·매핑'!$M$17:$M$144,"동바리 하부자키")))</x:f>
        <x:v>—</x:v>
      </x:c>
      <x:c r="K8" s="30" t="str">
        <x:f>IF(COUNTIFS('원자료·매핑'!$B$17:$B$144,$B8,'원자료·매핑'!$C$17:$C$144,$C8,'원자료·매핑'!$L$17:$L$144,"시스템서포트",'원자료·매핑'!$M$17:$M$144,"카플링(소켓)")=0,"—",IF(COUNTIFS('원자료·매핑'!$B$17:$B$144,$B8,'원자료·매핑'!$C$17:$C$144,$C8,'원자료·매핑'!$L$17:$L$144,"시스템서포트",'원자료·매핑'!$M$17:$M$144,"카플링(소켓)",'원자료·매핑'!$O$17:$O$144,"미산정")&gt;0,"미산정",SUMIFS('원자료·매핑'!$O$17:$O$144,'원자료·매핑'!$B$17:$B$144,$B8,'원자료·매핑'!$C$17:$C$144,$C8,'원자료·매핑'!$L$17:$L$144,"시스템서포트",'원자료·매핑'!$M$17:$M$144,"카플링(소켓)")))</x:f>
        <x:v>—</x:v>
      </x:c>
      <x:c r="L8" s="25" t="str">
        <x:f>IF(COUNTIFS('원자료·매핑'!$B$17:$B$144,$B8,'원자료·매핑'!$C$17:$C$144,$C8)=0,"신규 없음",IF(COUNTIFS('원자료·매핑'!$B$17:$B$144,$B8,'원자료·매핑'!$C$17:$C$144,$C8,'원자료·매핑'!$N$17:$N$144,"미산정")+COUNTIFS('원자료·매핑'!$B$17:$B$144,$B8,'원자료·매핑'!$C$17:$C$144,$C8,'원자료·매핑'!$N$17:$N$144,"반영",'원자료·매핑'!$O$17:$O$144,"미산정")=COUNTIFS('원자료·매핑'!$B$17:$B$144,$B8,'원자료·매핑'!$C$17:$C$144,$C8),"미산정",IF(COUNTIFS('원자료·매핑'!$B$17:$B$144,$B8,'원자료·매핑'!$C$17:$C$144,$C8,'원자료·매핑'!$N$17:$N$144,"미산정")+COUNTIFS('원자료·매핑'!$B$17:$B$144,$B8,'원자료·매핑'!$C$17:$C$144,$C8,'원자료·매핑'!$N$17:$N$144,"반영",'원자료·매핑'!$O$17:$O$144,"미산정")&gt;0,"일부 반영","반영")))</x:f>
        <x:v>반영</x:v>
      </x:c>
      <x:c r="M8" s="6" t="str">
        <x:v>SD500 D10·D13·D16·D19·D22·D25 투입. 길이 미제공, kg 기준 관리.</x:v>
      </x:c>
      <x:c r="N8" s="78" t="n">
        <x:f>MAX(0,MIN(1,('원자료·매핑'!$B$15-D8+1)/(E8-D8+1)))</x:f>
        <x:v>0</x:v>
      </x:c>
      <x:c r="O8" s="58" t="str">
        <x:f>IF(N8=0,"착수 전",IF(N8=1,"완료(가정)","진행 중(가정)"))</x:f>
        <x:v>착수 전</x:v>
      </x:c>
      <x:c r="P8" s="74" t="n">
        <x:f>MAX(0,E8-MAX(D8-1,'원자료·매핑'!$B$15))</x:f>
        <x:v>5</x:v>
      </x:c>
    </x:row>
    <x:row r="9" ht="58" customHeight="1">
      <x:c r="A9" s="24" t="n">
        <x:v>3</x:v>
      </x:c>
      <x:c r="B9" s="24" t="str">
        <x:v>113동</x:v>
      </x:c>
      <x:c r="C9" s="13" t="str">
        <x:v>수직부 거푸집 설치</x:v>
      </x:c>
      <x:c r="D9" s="26" t="n">
        <x:v>48</x:v>
      </x:c>
      <x:c r="E9" s="26" t="n">
        <x:v>54</x:v>
      </x:c>
      <x:c r="F9" s="42" t="n">
        <x:f>E9-D9+1</x:f>
        <x:v>7</x:v>
      </x:c>
      <x:c r="G9" s="29" t="str">
        <x:f>IF(COUNTIFS('원자료·매핑'!$B$17:$B$144,$B9,'원자료·매핑'!$C$17:$C$144,$C9,'원자료·매핑'!$L$17:$L$144,"철근")=0,"—",IF(COUNTIFS('원자료·매핑'!$B$17:$B$144,$B9,'원자료·매핑'!$C$17:$C$144,$C9,'원자료·매핑'!$L$17:$L$144,"철근",'원자료·매핑'!$O$17:$O$144,"미산정")&gt;0,"미산정",SUMIFS('원자료·매핑'!$O$17:$O$144,'원자료·매핑'!$B$17:$B$144,$B9,'원자료·매핑'!$C$17:$C$144,$C9,'원자료·매핑'!$L$17:$L$144,"철근")))</x:f>
        <x:v>—</x:v>
      </x:c>
      <x:c r="H9" s="29" t="n">
        <x:f>IF(COUNTIFS('원자료·매핑'!$B$17:$B$144,$B9,'원자료·매핑'!$C$17:$C$144,$C9,'원자료·매핑'!$L$17:$L$144,"유로폼")=0,"—",IF(COUNTIFS('원자료·매핑'!$B$17:$B$144,$B9,'원자료·매핑'!$C$17:$C$144,$C9,'원자료·매핑'!$L$17:$L$144,"유로폼",'원자료·매핑'!$O$17:$O$144,"미산정")&gt;0,"미산정",SUMIFS('원자료·매핑'!$O$17:$O$144,'원자료·매핑'!$B$17:$B$144,$B9,'원자료·매핑'!$C$17:$C$144,$C9,'원자료·매핑'!$L$17:$L$144,"유로폼")))</x:f>
        <x:v>1244</x:v>
      </x:c>
      <x:c r="I9" s="29" t="str">
        <x:f>IF(COUNTIFS('원자료·매핑'!$B$17:$B$144,$B9,'원자료·매핑'!$C$17:$C$144,$C9,'원자료·매핑'!$L$17:$L$144,"시스템서포트",'원자료·매핑'!$M$17:$M$144,"동바리 상부자키")=0,"—",IF(COUNTIFS('원자료·매핑'!$B$17:$B$144,$B9,'원자료·매핑'!$C$17:$C$144,$C9,'원자료·매핑'!$L$17:$L$144,"시스템서포트",'원자료·매핑'!$M$17:$M$144,"동바리 상부자키",'원자료·매핑'!$O$17:$O$144,"미산정")&gt;0,"미산정",SUMIFS('원자료·매핑'!$O$17:$O$144,'원자료·매핑'!$B$17:$B$144,$B9,'원자료·매핑'!$C$17:$C$144,$C9,'원자료·매핑'!$L$17:$L$144,"시스템서포트",'원자료·매핑'!$M$17:$M$144,"동바리 상부자키")))</x:f>
        <x:v>—</x:v>
      </x:c>
      <x:c r="J9" s="29" t="str">
        <x:f>IF(COUNTIFS('원자료·매핑'!$B$17:$B$144,$B9,'원자료·매핑'!$C$17:$C$144,$C9,'원자료·매핑'!$L$17:$L$144,"시스템서포트",'원자료·매핑'!$M$17:$M$144,"동바리 하부자키")=0,"—",IF(COUNTIFS('원자료·매핑'!$B$17:$B$144,$B9,'원자료·매핑'!$C$17:$C$144,$C9,'원자료·매핑'!$L$17:$L$144,"시스템서포트",'원자료·매핑'!$M$17:$M$144,"동바리 하부자키",'원자료·매핑'!$O$17:$O$144,"미산정")&gt;0,"미산정",SUMIFS('원자료·매핑'!$O$17:$O$144,'원자료·매핑'!$B$17:$B$144,$B9,'원자료·매핑'!$C$17:$C$144,$C9,'원자료·매핑'!$L$17:$L$144,"시스템서포트",'원자료·매핑'!$M$17:$M$144,"동바리 하부자키")))</x:f>
        <x:v>—</x:v>
      </x:c>
      <x:c r="K9" s="29" t="str">
        <x:f>IF(COUNTIFS('원자료·매핑'!$B$17:$B$144,$B9,'원자료·매핑'!$C$17:$C$144,$C9,'원자료·매핑'!$L$17:$L$144,"시스템서포트",'원자료·매핑'!$M$17:$M$144,"카플링(소켓)")=0,"—",IF(COUNTIFS('원자료·매핑'!$B$17:$B$144,$B9,'원자료·매핑'!$C$17:$C$144,$C9,'원자료·매핑'!$L$17:$L$144,"시스템서포트",'원자료·매핑'!$M$17:$M$144,"카플링(소켓)",'원자료·매핑'!$O$17:$O$144,"미산정")&gt;0,"미산정",SUMIFS('원자료·매핑'!$O$17:$O$144,'원자료·매핑'!$B$17:$B$144,$B9,'원자료·매핑'!$C$17:$C$144,$C9,'원자료·매핑'!$L$17:$L$144,"시스템서포트",'원자료·매핑'!$M$17:$M$144,"카플링(소켓)")))</x:f>
        <x:v>—</x:v>
      </x:c>
      <x:c r="L9" s="24" t="str">
        <x:f>IF(COUNTIFS('원자료·매핑'!$B$17:$B$144,$B9,'원자료·매핑'!$C$17:$C$144,$C9)=0,"신규 없음",IF(COUNTIFS('원자료·매핑'!$B$17:$B$144,$B9,'원자료·매핑'!$C$17:$C$144,$C9,'원자료·매핑'!$N$17:$N$144,"미산정")+COUNTIFS('원자료·매핑'!$B$17:$B$144,$B9,'원자료·매핑'!$C$17:$C$144,$C9,'원자료·매핑'!$N$17:$N$144,"반영",'원자료·매핑'!$O$17:$O$144,"미산정")=COUNTIFS('원자료·매핑'!$B$17:$B$144,$B9,'원자료·매핑'!$C$17:$C$144,$C9),"미산정",IF(COUNTIFS('원자료·매핑'!$B$17:$B$144,$B9,'원자료·매핑'!$C$17:$C$144,$C9,'원자료·매핑'!$N$17:$N$144,"미산정")+COUNTIFS('원자료·매핑'!$B$17:$B$144,$B9,'원자료·매핑'!$C$17:$C$144,$C9,'원자료·매핑'!$N$17:$N$144,"반영",'원자료·매핑'!$O$17:$O$144,"미산정")&gt;0,"일부 반영","반영")))</x:f>
        <x:v>일부 반영</x:v>
      </x:c>
      <x:c r="M9" s="13" t="str">
        <x:v>유로폼 500×1200·600×1200·300×1200만 투입. 500×600 및 미등록 부속은 미산정.</x:v>
      </x:c>
      <x:c r="N9" s="77" t="n">
        <x:f>MAX(0,MIN(1,('원자료·매핑'!$B$15-D9+1)/(E9-D9+1)))</x:f>
        <x:v>0</x:v>
      </x:c>
      <x:c r="O9" s="62" t="str">
        <x:f>IF(N9=0,"착수 전",IF(N9=1,"완료(가정)","진행 중(가정)"))</x:f>
        <x:v>착수 전</x:v>
      </x:c>
      <x:c r="P9" s="73" t="n">
        <x:f>MAX(0,E9-MAX(D9-1,'원자료·매핑'!$B$15))</x:f>
        <x:v>7</x:v>
      </x:c>
    </x:row>
    <x:row r="10" ht="58" customHeight="1">
      <x:c r="A10" s="25" t="n">
        <x:v>4</x:v>
      </x:c>
      <x:c r="B10" s="25" t="str">
        <x:v>113동</x:v>
      </x:c>
      <x:c r="C10" s="6" t="str">
        <x:v>시스템동바리 조립</x:v>
      </x:c>
      <x:c r="D10" s="27" t="n">
        <x:v>55</x:v>
      </x:c>
      <x:c r="E10" s="27" t="n">
        <x:v>57</x:v>
      </x:c>
      <x:c r="F10" s="41" t="n">
        <x:f>E10-D10+1</x:f>
        <x:v>3</x:v>
      </x:c>
      <x:c r="G10" s="30" t="str">
        <x:f>IF(COUNTIFS('원자료·매핑'!$B$17:$B$144,$B10,'원자료·매핑'!$C$17:$C$144,$C10,'원자료·매핑'!$L$17:$L$144,"철근")=0,"—",IF(COUNTIFS('원자료·매핑'!$B$17:$B$144,$B10,'원자료·매핑'!$C$17:$C$144,$C10,'원자료·매핑'!$L$17:$L$144,"철근",'원자료·매핑'!$O$17:$O$144,"미산정")&gt;0,"미산정",SUMIFS('원자료·매핑'!$O$17:$O$144,'원자료·매핑'!$B$17:$B$144,$B10,'원자료·매핑'!$C$17:$C$144,$C10,'원자료·매핑'!$L$17:$L$144,"철근")))</x:f>
        <x:v>—</x:v>
      </x:c>
      <x:c r="H10" s="30" t="str">
        <x:f>IF(COUNTIFS('원자료·매핑'!$B$17:$B$144,$B10,'원자료·매핑'!$C$17:$C$144,$C10,'원자료·매핑'!$L$17:$L$144,"유로폼")=0,"—",IF(COUNTIFS('원자료·매핑'!$B$17:$B$144,$B10,'원자료·매핑'!$C$17:$C$144,$C10,'원자료·매핑'!$L$17:$L$144,"유로폼",'원자료·매핑'!$O$17:$O$144,"미산정")&gt;0,"미산정",SUMIFS('원자료·매핑'!$O$17:$O$144,'원자료·매핑'!$B$17:$B$144,$B10,'원자료·매핑'!$C$17:$C$144,$C10,'원자료·매핑'!$L$17:$L$144,"유로폼")))</x:f>
        <x:v>—</x:v>
      </x:c>
      <x:c r="I10" s="30" t="n">
        <x:f>IF(COUNTIFS('원자료·매핑'!$B$17:$B$144,$B10,'원자료·매핑'!$C$17:$C$144,$C10,'원자료·매핑'!$L$17:$L$144,"시스템서포트",'원자료·매핑'!$M$17:$M$144,"동바리 상부자키")=0,"—",IF(COUNTIFS('원자료·매핑'!$B$17:$B$144,$B10,'원자료·매핑'!$C$17:$C$144,$C10,'원자료·매핑'!$L$17:$L$144,"시스템서포트",'원자료·매핑'!$M$17:$M$144,"동바리 상부자키",'원자료·매핑'!$O$17:$O$144,"미산정")&gt;0,"미산정",SUMIFS('원자료·매핑'!$O$17:$O$144,'원자료·매핑'!$B$17:$B$144,$B10,'원자료·매핑'!$C$17:$C$144,$C10,'원자료·매핑'!$L$17:$L$144,"시스템서포트",'원자료·매핑'!$M$17:$M$144,"동바리 상부자키")))</x:f>
        <x:v>504</x:v>
      </x:c>
      <x:c r="J10" s="30" t="n">
        <x:f>IF(COUNTIFS('원자료·매핑'!$B$17:$B$144,$B10,'원자료·매핑'!$C$17:$C$144,$C10,'원자료·매핑'!$L$17:$L$144,"시스템서포트",'원자료·매핑'!$M$17:$M$144,"동바리 하부자키")=0,"—",IF(COUNTIFS('원자료·매핑'!$B$17:$B$144,$B10,'원자료·매핑'!$C$17:$C$144,$C10,'원자료·매핑'!$L$17:$L$144,"시스템서포트",'원자료·매핑'!$M$17:$M$144,"동바리 하부자키",'원자료·매핑'!$O$17:$O$144,"미산정")&gt;0,"미산정",SUMIFS('원자료·매핑'!$O$17:$O$144,'원자료·매핑'!$B$17:$B$144,$B10,'원자료·매핑'!$C$17:$C$144,$C10,'원자료·매핑'!$L$17:$L$144,"시스템서포트",'원자료·매핑'!$M$17:$M$144,"동바리 하부자키")))</x:f>
        <x:v>504</x:v>
      </x:c>
      <x:c r="K10" s="30" t="n">
        <x:f>IF(COUNTIFS('원자료·매핑'!$B$17:$B$144,$B10,'원자료·매핑'!$C$17:$C$144,$C10,'원자료·매핑'!$L$17:$L$144,"시스템서포트",'원자료·매핑'!$M$17:$M$144,"카플링(소켓)")=0,"—",IF(COUNTIFS('원자료·매핑'!$B$17:$B$144,$B10,'원자료·매핑'!$C$17:$C$144,$C10,'원자료·매핑'!$L$17:$L$144,"시스템서포트",'원자료·매핑'!$M$17:$M$144,"카플링(소켓)",'원자료·매핑'!$O$17:$O$144,"미산정")&gt;0,"미산정",SUMIFS('원자료·매핑'!$O$17:$O$144,'원자료·매핑'!$B$17:$B$144,$B10,'원자료·매핑'!$C$17:$C$144,$C10,'원자료·매핑'!$L$17:$L$144,"시스템서포트",'원자료·매핑'!$M$17:$M$144,"카플링(소켓)")))</x:f>
        <x:v>1008</x:v>
      </x:c>
      <x:c r="L10" s="25" t="str">
        <x:f>IF(COUNTIFS('원자료·매핑'!$B$17:$B$144,$B10,'원자료·매핑'!$C$17:$C$144,$C10)=0,"신규 없음",IF(COUNTIFS('원자료·매핑'!$B$17:$B$144,$B10,'원자료·매핑'!$C$17:$C$144,$C10,'원자료·매핑'!$N$17:$N$144,"미산정")+COUNTIFS('원자료·매핑'!$B$17:$B$144,$B10,'원자료·매핑'!$C$17:$C$144,$C10,'원자료·매핑'!$N$17:$N$144,"반영",'원자료·매핑'!$O$17:$O$144,"미산정")=COUNTIFS('원자료·매핑'!$B$17:$B$144,$B10,'원자료·매핑'!$C$17:$C$144,$C10),"미산정",IF(COUNTIFS('원자료·매핑'!$B$17:$B$144,$B10,'원자료·매핑'!$C$17:$C$144,$C10,'원자료·매핑'!$N$17:$N$144,"미산정")+COUNTIFS('원자료·매핑'!$B$17:$B$144,$B10,'원자료·매핑'!$C$17:$C$144,$C10,'원자료·매핑'!$N$17:$N$144,"반영",'원자료·매핑'!$O$17:$O$144,"미산정")&gt;0,"일부 반영","반영")))</x:f>
        <x:v>일부 반영</x:v>
      </x:c>
      <x:c r="M10" s="6" t="str">
        <x:v>상부자키·하부자키·카플링만 산정. 수직·수평·대각재는 등록 규격과 동일성 미확인으로 미산정.</x:v>
      </x:c>
      <x:c r="N10" s="78" t="n">
        <x:f>MAX(0,MIN(1,('원자료·매핑'!$B$15-D10+1)/(E10-D10+1)))</x:f>
        <x:v>0</x:v>
      </x:c>
      <x:c r="O10" s="58" t="str">
        <x:f>IF(N10=0,"착수 전",IF(N10=1,"완료(가정)","진행 중(가정)"))</x:f>
        <x:v>착수 전</x:v>
      </x:c>
      <x:c r="P10" s="74" t="n">
        <x:f>MAX(0,E10-MAX(D10-1,'원자료·매핑'!$B$15))</x:f>
        <x:v>3</x:v>
      </x:c>
    </x:row>
    <x:row r="11" ht="58" customHeight="1">
      <x:c r="A11" s="24" t="n">
        <x:v>5</x:v>
      </x:c>
      <x:c r="B11" s="24" t="str">
        <x:v>113동</x:v>
      </x:c>
      <x:c r="C11" s="13" t="str">
        <x:v>보·슬래브 거푸집</x:v>
      </x:c>
      <x:c r="D11" s="26" t="n">
        <x:v>58</x:v>
      </x:c>
      <x:c r="E11" s="26" t="n">
        <x:v>61</x:v>
      </x:c>
      <x:c r="F11" s="42" t="n">
        <x:f>E11-D11+1</x:f>
        <x:v>4</x:v>
      </x:c>
      <x:c r="G11" s="29" t="str">
        <x:f>IF(COUNTIFS('원자료·매핑'!$B$17:$B$144,$B11,'원자료·매핑'!$C$17:$C$144,$C11,'원자료·매핑'!$L$17:$L$144,"철근")=0,"—",IF(COUNTIFS('원자료·매핑'!$B$17:$B$144,$B11,'원자료·매핑'!$C$17:$C$144,$C11,'원자료·매핑'!$L$17:$L$144,"철근",'원자료·매핑'!$O$17:$O$144,"미산정")&gt;0,"미산정",SUMIFS('원자료·매핑'!$O$17:$O$144,'원자료·매핑'!$B$17:$B$144,$B11,'원자료·매핑'!$C$17:$C$144,$C11,'원자료·매핑'!$L$17:$L$144,"철근")))</x:f>
        <x:v>—</x:v>
      </x:c>
      <x:c r="H11" s="29" t="str">
        <x:f>IF(COUNTIFS('원자료·매핑'!$B$17:$B$144,$B11,'원자료·매핑'!$C$17:$C$144,$C11,'원자료·매핑'!$L$17:$L$144,"유로폼")=0,"—",IF(COUNTIFS('원자료·매핑'!$B$17:$B$144,$B11,'원자료·매핑'!$C$17:$C$144,$C11,'원자료·매핑'!$L$17:$L$144,"유로폼",'원자료·매핑'!$O$17:$O$144,"미산정")&gt;0,"미산정",SUMIFS('원자료·매핑'!$O$17:$O$144,'원자료·매핑'!$B$17:$B$144,$B11,'원자료·매핑'!$C$17:$C$144,$C11,'원자료·매핑'!$L$17:$L$144,"유로폼")))</x:f>
        <x:v>—</x:v>
      </x:c>
      <x:c r="I11" s="29" t="str">
        <x:f>IF(COUNTIFS('원자료·매핑'!$B$17:$B$144,$B11,'원자료·매핑'!$C$17:$C$144,$C11,'원자료·매핑'!$L$17:$L$144,"시스템서포트",'원자료·매핑'!$M$17:$M$144,"동바리 상부자키")=0,"—",IF(COUNTIFS('원자료·매핑'!$B$17:$B$144,$B11,'원자료·매핑'!$C$17:$C$144,$C11,'원자료·매핑'!$L$17:$L$144,"시스템서포트",'원자료·매핑'!$M$17:$M$144,"동바리 상부자키",'원자료·매핑'!$O$17:$O$144,"미산정")&gt;0,"미산정",SUMIFS('원자료·매핑'!$O$17:$O$144,'원자료·매핑'!$B$17:$B$144,$B11,'원자료·매핑'!$C$17:$C$144,$C11,'원자료·매핑'!$L$17:$L$144,"시스템서포트",'원자료·매핑'!$M$17:$M$144,"동바리 상부자키")))</x:f>
        <x:v>—</x:v>
      </x:c>
      <x:c r="J11" s="29" t="str">
        <x:f>IF(COUNTIFS('원자료·매핑'!$B$17:$B$144,$B11,'원자료·매핑'!$C$17:$C$144,$C11,'원자료·매핑'!$L$17:$L$144,"시스템서포트",'원자료·매핑'!$M$17:$M$144,"동바리 하부자키")=0,"—",IF(COUNTIFS('원자료·매핑'!$B$17:$B$144,$B11,'원자료·매핑'!$C$17:$C$144,$C11,'원자료·매핑'!$L$17:$L$144,"시스템서포트",'원자료·매핑'!$M$17:$M$144,"동바리 하부자키",'원자료·매핑'!$O$17:$O$144,"미산정")&gt;0,"미산정",SUMIFS('원자료·매핑'!$O$17:$O$144,'원자료·매핑'!$B$17:$B$144,$B11,'원자료·매핑'!$C$17:$C$144,$C11,'원자료·매핑'!$L$17:$L$144,"시스템서포트",'원자료·매핑'!$M$17:$M$144,"동바리 하부자키")))</x:f>
        <x:v>—</x:v>
      </x:c>
      <x:c r="K11" s="29" t="str">
        <x:f>IF(COUNTIFS('원자료·매핑'!$B$17:$B$144,$B11,'원자료·매핑'!$C$17:$C$144,$C11,'원자료·매핑'!$L$17:$L$144,"시스템서포트",'원자료·매핑'!$M$17:$M$144,"카플링(소켓)")=0,"—",IF(COUNTIFS('원자료·매핑'!$B$17:$B$144,$B11,'원자료·매핑'!$C$17:$C$144,$C11,'원자료·매핑'!$L$17:$L$144,"시스템서포트",'원자료·매핑'!$M$17:$M$144,"카플링(소켓)",'원자료·매핑'!$O$17:$O$144,"미산정")&gt;0,"미산정",SUMIFS('원자료·매핑'!$O$17:$O$144,'원자료·매핑'!$B$17:$B$144,$B11,'원자료·매핑'!$C$17:$C$144,$C11,'원자료·매핑'!$L$17:$L$144,"시스템서포트",'원자료·매핑'!$M$17:$M$144,"카플링(소켓)")))</x:f>
        <x:v>—</x:v>
      </x:c>
      <x:c r="L11" s="24" t="str">
        <x:f>IF(COUNTIFS('원자료·매핑'!$B$17:$B$144,$B11,'원자료·매핑'!$C$17:$C$144,$C11)=0,"신규 없음",IF(COUNTIFS('원자료·매핑'!$B$17:$B$144,$B11,'원자료·매핑'!$C$17:$C$144,$C11,'원자료·매핑'!$N$17:$N$144,"미산정")+COUNTIFS('원자료·매핑'!$B$17:$B$144,$B11,'원자료·매핑'!$C$17:$C$144,$C11,'원자료·매핑'!$N$17:$N$144,"반영",'원자료·매핑'!$O$17:$O$144,"미산정")=COUNTIFS('원자료·매핑'!$B$17:$B$144,$B11,'원자료·매핑'!$C$17:$C$144,$C11),"미산정",IF(COUNTIFS('원자료·매핑'!$B$17:$B$144,$B11,'원자료·매핑'!$C$17:$C$144,$C11,'원자료·매핑'!$N$17:$N$144,"미산정")+COUNTIFS('원자료·매핑'!$B$17:$B$144,$B11,'원자료·매핑'!$C$17:$C$144,$C11,'원자료·매핑'!$N$17:$N$144,"반영",'원자료·매핑'!$O$17:$O$144,"미산정")&gt;0,"일부 반영","반영")))</x:f>
        <x:v>미산정</x:v>
      </x:c>
      <x:c r="M11" s="13" t="str">
        <x:v>일치하는 등록 자재 물량 없음: 미산정. 합판·장선·멍에를 다른 품목으로 대체하지 않음.</x:v>
      </x:c>
      <x:c r="N11" s="77" t="n">
        <x:f>MAX(0,MIN(1,('원자료·매핑'!$B$15-D11+1)/(E11-D11+1)))</x:f>
        <x:v>0</x:v>
      </x:c>
      <x:c r="O11" s="62" t="str">
        <x:f>IF(N11=0,"착수 전",IF(N11=1,"완료(가정)","진행 중(가정)"))</x:f>
        <x:v>착수 전</x:v>
      </x:c>
      <x:c r="P11" s="73" t="n">
        <x:f>MAX(0,E11-MAX(D11-1,'원자료·매핑'!$B$15))</x:f>
        <x:v>4</x:v>
      </x:c>
    </x:row>
    <x:row r="12" ht="58" customHeight="1">
      <x:c r="A12" s="25" t="n">
        <x:v>6</x:v>
      </x:c>
      <x:c r="B12" s="25" t="str">
        <x:v>113동</x:v>
      </x:c>
      <x:c r="C12" s="6" t="str">
        <x:v>보·슬래브 철근배근</x:v>
      </x:c>
      <x:c r="D12" s="27" t="n">
        <x:v>62</x:v>
      </x:c>
      <x:c r="E12" s="27" t="n">
        <x:v>64</x:v>
      </x:c>
      <x:c r="F12" s="41" t="n">
        <x:f>E12-D12+1</x:f>
        <x:v>3</x:v>
      </x:c>
      <x:c r="G12" s="30" t="n">
        <x:f>IF(COUNTIFS('원자료·매핑'!$B$17:$B$144,$B12,'원자료·매핑'!$C$17:$C$144,$C12,'원자료·매핑'!$L$17:$L$144,"철근")=0,"—",IF(COUNTIFS('원자료·매핑'!$B$17:$B$144,$B12,'원자료·매핑'!$C$17:$C$144,$C12,'원자료·매핑'!$L$17:$L$144,"철근",'원자료·매핑'!$O$17:$O$144,"미산정")&gt;0,"미산정",SUMIFS('원자료·매핑'!$O$17:$O$144,'원자료·매핑'!$B$17:$B$144,$B12,'원자료·매핑'!$C$17:$C$144,$C12,'원자료·매핑'!$L$17:$L$144,"철근")))</x:f>
        <x:v>25200</x:v>
      </x:c>
      <x:c r="H12" s="30" t="str">
        <x:f>IF(COUNTIFS('원자료·매핑'!$B$17:$B$144,$B12,'원자료·매핑'!$C$17:$C$144,$C12,'원자료·매핑'!$L$17:$L$144,"유로폼")=0,"—",IF(COUNTIFS('원자료·매핑'!$B$17:$B$144,$B12,'원자료·매핑'!$C$17:$C$144,$C12,'원자료·매핑'!$L$17:$L$144,"유로폼",'원자료·매핑'!$O$17:$O$144,"미산정")&gt;0,"미산정",SUMIFS('원자료·매핑'!$O$17:$O$144,'원자료·매핑'!$B$17:$B$144,$B12,'원자료·매핑'!$C$17:$C$144,$C12,'원자료·매핑'!$L$17:$L$144,"유로폼")))</x:f>
        <x:v>—</x:v>
      </x:c>
      <x:c r="I12" s="30" t="str">
        <x:f>IF(COUNTIFS('원자료·매핑'!$B$17:$B$144,$B12,'원자료·매핑'!$C$17:$C$144,$C12,'원자료·매핑'!$L$17:$L$144,"시스템서포트",'원자료·매핑'!$M$17:$M$144,"동바리 상부자키")=0,"—",IF(COUNTIFS('원자료·매핑'!$B$17:$B$144,$B12,'원자료·매핑'!$C$17:$C$144,$C12,'원자료·매핑'!$L$17:$L$144,"시스템서포트",'원자료·매핑'!$M$17:$M$144,"동바리 상부자키",'원자료·매핑'!$O$17:$O$144,"미산정")&gt;0,"미산정",SUMIFS('원자료·매핑'!$O$17:$O$144,'원자료·매핑'!$B$17:$B$144,$B12,'원자료·매핑'!$C$17:$C$144,$C12,'원자료·매핑'!$L$17:$L$144,"시스템서포트",'원자료·매핑'!$M$17:$M$144,"동바리 상부자키")))</x:f>
        <x:v>—</x:v>
      </x:c>
      <x:c r="J12" s="30" t="str">
        <x:f>IF(COUNTIFS('원자료·매핑'!$B$17:$B$144,$B12,'원자료·매핑'!$C$17:$C$144,$C12,'원자료·매핑'!$L$17:$L$144,"시스템서포트",'원자료·매핑'!$M$17:$M$144,"동바리 하부자키")=0,"—",IF(COUNTIFS('원자료·매핑'!$B$17:$B$144,$B12,'원자료·매핑'!$C$17:$C$144,$C12,'원자료·매핑'!$L$17:$L$144,"시스템서포트",'원자료·매핑'!$M$17:$M$144,"동바리 하부자키",'원자료·매핑'!$O$17:$O$144,"미산정")&gt;0,"미산정",SUMIFS('원자료·매핑'!$O$17:$O$144,'원자료·매핑'!$B$17:$B$144,$B12,'원자료·매핑'!$C$17:$C$144,$C12,'원자료·매핑'!$L$17:$L$144,"시스템서포트",'원자료·매핑'!$M$17:$M$144,"동바리 하부자키")))</x:f>
        <x:v>—</x:v>
      </x:c>
      <x:c r="K12" s="30" t="str">
        <x:f>IF(COUNTIFS('원자료·매핑'!$B$17:$B$144,$B12,'원자료·매핑'!$C$17:$C$144,$C12,'원자료·매핑'!$L$17:$L$144,"시스템서포트",'원자료·매핑'!$M$17:$M$144,"카플링(소켓)")=0,"—",IF(COUNTIFS('원자료·매핑'!$B$17:$B$144,$B12,'원자료·매핑'!$C$17:$C$144,$C12,'원자료·매핑'!$L$17:$L$144,"시스템서포트",'원자료·매핑'!$M$17:$M$144,"카플링(소켓)",'원자료·매핑'!$O$17:$O$144,"미산정")&gt;0,"미산정",SUMIFS('원자료·매핑'!$O$17:$O$144,'원자료·매핑'!$B$17:$B$144,$B12,'원자료·매핑'!$C$17:$C$144,$C12,'원자료·매핑'!$L$17:$L$144,"시스템서포트",'원자료·매핑'!$M$17:$M$144,"카플링(소켓)")))</x:f>
        <x:v>—</x:v>
      </x:c>
      <x:c r="L12" s="25" t="str">
        <x:f>IF(COUNTIFS('원자료·매핑'!$B$17:$B$144,$B12,'원자료·매핑'!$C$17:$C$144,$C12)=0,"신규 없음",IF(COUNTIFS('원자료·매핑'!$B$17:$B$144,$B12,'원자료·매핑'!$C$17:$C$144,$C12,'원자료·매핑'!$N$17:$N$144,"미산정")+COUNTIFS('원자료·매핑'!$B$17:$B$144,$B12,'원자료·매핑'!$C$17:$C$144,$C12,'원자료·매핑'!$N$17:$N$144,"반영",'원자료·매핑'!$O$17:$O$144,"미산정")=COUNTIFS('원자료·매핑'!$B$17:$B$144,$B12,'원자료·매핑'!$C$17:$C$144,$C12),"미산정",IF(COUNTIFS('원자료·매핑'!$B$17:$B$144,$B12,'원자료·매핑'!$C$17:$C$144,$C12,'원자료·매핑'!$N$17:$N$144,"미산정")+COUNTIFS('원자료·매핑'!$B$17:$B$144,$B12,'원자료·매핑'!$C$17:$C$144,$C12,'원자료·매핑'!$N$17:$N$144,"반영",'원자료·매핑'!$O$17:$O$144,"미산정")&gt;0,"일부 반영","반영")))</x:f>
        <x:v>반영</x:v>
      </x:c>
      <x:c r="M12" s="6" t="str">
        <x:v>SD500 D10·D13·D16·D19·D22·D25 투입. 길이 미제공, kg 기준 관리.</x:v>
      </x:c>
      <x:c r="N12" s="78" t="n">
        <x:f>MAX(0,MIN(1,('원자료·매핑'!$B$15-D12+1)/(E12-D12+1)))</x:f>
        <x:v>0</x:v>
      </x:c>
      <x:c r="O12" s="58" t="str">
        <x:f>IF(N12=0,"착수 전",IF(N12=1,"완료(가정)","진행 중(가정)"))</x:f>
        <x:v>착수 전</x:v>
      </x:c>
      <x:c r="P12" s="74" t="n">
        <x:f>MAX(0,E12-MAX(D12-1,'원자료·매핑'!$B$15))</x:f>
        <x:v>3</x:v>
      </x:c>
    </x:row>
    <x:row r="13" ht="58" customHeight="1">
      <x:c r="A13" s="24" t="n">
        <x:v>7</x:v>
      </x:c>
      <x:c r="B13" s="24" t="str">
        <x:v>113동</x:v>
      </x:c>
      <x:c r="C13" s="13" t="str">
        <x:v>검측·콘크리트 타설</x:v>
      </x:c>
      <x:c r="D13" s="26" t="n">
        <x:v>65</x:v>
      </x:c>
      <x:c r="E13" s="26" t="n">
        <x:v>65</x:v>
      </x:c>
      <x:c r="F13" s="42" t="n">
        <x:f>E13-D13+1</x:f>
        <x:v>1</x:v>
      </x:c>
      <x:c r="G13" s="29" t="str">
        <x:f>IF(COUNTIFS('원자료·매핑'!$B$17:$B$144,$B13,'원자료·매핑'!$C$17:$C$144,$C13,'원자료·매핑'!$L$17:$L$144,"철근")=0,"—",IF(COUNTIFS('원자료·매핑'!$B$17:$B$144,$B13,'원자료·매핑'!$C$17:$C$144,$C13,'원자료·매핑'!$L$17:$L$144,"철근",'원자료·매핑'!$O$17:$O$144,"미산정")&gt;0,"미산정",SUMIFS('원자료·매핑'!$O$17:$O$144,'원자료·매핑'!$B$17:$B$144,$B13,'원자료·매핑'!$C$17:$C$144,$C13,'원자료·매핑'!$L$17:$L$144,"철근")))</x:f>
        <x:v>—</x:v>
      </x:c>
      <x:c r="H13" s="29" t="str">
        <x:f>IF(COUNTIFS('원자료·매핑'!$B$17:$B$144,$B13,'원자료·매핑'!$C$17:$C$144,$C13,'원자료·매핑'!$L$17:$L$144,"유로폼")=0,"—",IF(COUNTIFS('원자료·매핑'!$B$17:$B$144,$B13,'원자료·매핑'!$C$17:$C$144,$C13,'원자료·매핑'!$L$17:$L$144,"유로폼",'원자료·매핑'!$O$17:$O$144,"미산정")&gt;0,"미산정",SUMIFS('원자료·매핑'!$O$17:$O$144,'원자료·매핑'!$B$17:$B$144,$B13,'원자료·매핑'!$C$17:$C$144,$C13,'원자료·매핑'!$L$17:$L$144,"유로폼")))</x:f>
        <x:v>—</x:v>
      </x:c>
      <x:c r="I13" s="29" t="str">
        <x:f>IF(COUNTIFS('원자료·매핑'!$B$17:$B$144,$B13,'원자료·매핑'!$C$17:$C$144,$C13,'원자료·매핑'!$L$17:$L$144,"시스템서포트",'원자료·매핑'!$M$17:$M$144,"동바리 상부자키")=0,"—",IF(COUNTIFS('원자료·매핑'!$B$17:$B$144,$B13,'원자료·매핑'!$C$17:$C$144,$C13,'원자료·매핑'!$L$17:$L$144,"시스템서포트",'원자료·매핑'!$M$17:$M$144,"동바리 상부자키",'원자료·매핑'!$O$17:$O$144,"미산정")&gt;0,"미산정",SUMIFS('원자료·매핑'!$O$17:$O$144,'원자료·매핑'!$B$17:$B$144,$B13,'원자료·매핑'!$C$17:$C$144,$C13,'원자료·매핑'!$L$17:$L$144,"시스템서포트",'원자료·매핑'!$M$17:$M$144,"동바리 상부자키")))</x:f>
        <x:v>—</x:v>
      </x:c>
      <x:c r="J13" s="29" t="str">
        <x:f>IF(COUNTIFS('원자료·매핑'!$B$17:$B$144,$B13,'원자료·매핑'!$C$17:$C$144,$C13,'원자료·매핑'!$L$17:$L$144,"시스템서포트",'원자료·매핑'!$M$17:$M$144,"동바리 하부자키")=0,"—",IF(COUNTIFS('원자료·매핑'!$B$17:$B$144,$B13,'원자료·매핑'!$C$17:$C$144,$C13,'원자료·매핑'!$L$17:$L$144,"시스템서포트",'원자료·매핑'!$M$17:$M$144,"동바리 하부자키",'원자료·매핑'!$O$17:$O$144,"미산정")&gt;0,"미산정",SUMIFS('원자료·매핑'!$O$17:$O$144,'원자료·매핑'!$B$17:$B$144,$B13,'원자료·매핑'!$C$17:$C$144,$C13,'원자료·매핑'!$L$17:$L$144,"시스템서포트",'원자료·매핑'!$M$17:$M$144,"동바리 하부자키")))</x:f>
        <x:v>—</x:v>
      </x:c>
      <x:c r="K13" s="29" t="str">
        <x:f>IF(COUNTIFS('원자료·매핑'!$B$17:$B$144,$B13,'원자료·매핑'!$C$17:$C$144,$C13,'원자료·매핑'!$L$17:$L$144,"시스템서포트",'원자료·매핑'!$M$17:$M$144,"카플링(소켓)")=0,"—",IF(COUNTIFS('원자료·매핑'!$B$17:$B$144,$B13,'원자료·매핑'!$C$17:$C$144,$C13,'원자료·매핑'!$L$17:$L$144,"시스템서포트",'원자료·매핑'!$M$17:$M$144,"카플링(소켓)",'원자료·매핑'!$O$17:$O$144,"미산정")&gt;0,"미산정",SUMIFS('원자료·매핑'!$O$17:$O$144,'원자료·매핑'!$B$17:$B$144,$B13,'원자료·매핑'!$C$17:$C$144,$C13,'원자료·매핑'!$L$17:$L$144,"시스템서포트",'원자료·매핑'!$M$17:$M$144,"카플링(소켓)")))</x:f>
        <x:v>—</x:v>
      </x:c>
      <x:c r="L13" s="24" t="str">
        <x:f>IF(COUNTIFS('원자료·매핑'!$B$17:$B$144,$B13,'원자료·매핑'!$C$17:$C$144,$C13)=0,"신규 없음",IF(COUNTIFS('원자료·매핑'!$B$17:$B$144,$B13,'원자료·매핑'!$C$17:$C$144,$C13,'원자료·매핑'!$N$17:$N$144,"미산정")+COUNTIFS('원자료·매핑'!$B$17:$B$144,$B13,'원자료·매핑'!$C$17:$C$144,$C13,'원자료·매핑'!$N$17:$N$144,"반영",'원자료·매핑'!$O$17:$O$144,"미산정")=COUNTIFS('원자료·매핑'!$B$17:$B$144,$B13,'원자료·매핑'!$C$17:$C$144,$C13),"미산정",IF(COUNTIFS('원자료·매핑'!$B$17:$B$144,$B13,'원자료·매핑'!$C$17:$C$144,$C13,'원자료·매핑'!$N$17:$N$144,"미산정")+COUNTIFS('원자료·매핑'!$B$17:$B$144,$B13,'원자료·매핑'!$C$17:$C$144,$C13,'원자료·매핑'!$N$17:$N$144,"반영",'원자료·매핑'!$O$17:$O$144,"미산정")&gt;0,"일부 반영","반영")))</x:f>
        <x:v>신규 없음</x:v>
      </x:c>
      <x:c r="M13" s="13" t="str">
        <x:v>기투입 철근·거푸집·동바리 사용 중. 등록 자재 신규 투입 계획 없음.</x:v>
      </x:c>
      <x:c r="N13" s="77" t="n">
        <x:f>MAX(0,MIN(1,('원자료·매핑'!$B$15-D13+1)/(E13-D13+1)))</x:f>
        <x:v>0</x:v>
      </x:c>
      <x:c r="O13" s="62" t="str">
        <x:f>IF(N13=0,"착수 전",IF(N13=1,"완료(가정)","진행 중(가정)"))</x:f>
        <x:v>착수 전</x:v>
      </x:c>
      <x:c r="P13" s="73" t="n">
        <x:f>MAX(0,E13-MAX(D13-1,'원자료·매핑'!$B$15))</x:f>
        <x:v>1</x:v>
      </x:c>
    </x:row>
    <x:row r="14" ht="58" customHeight="1">
      <x:c r="A14" s="25" t="n">
        <x:v>8</x:v>
      </x:c>
      <x:c r="B14" s="25" t="str">
        <x:v>113동</x:v>
      </x:c>
      <x:c r="C14" s="6" t="str">
        <x:v>계획 여유</x:v>
      </x:c>
      <x:c r="D14" s="27" t="n">
        <x:v>66</x:v>
      </x:c>
      <x:c r="E14" s="27" t="n">
        <x:v>70</x:v>
      </x:c>
      <x:c r="F14" s="41" t="n">
        <x:f>E14-D14+1</x:f>
        <x:v>5</x:v>
      </x:c>
      <x:c r="G14" s="30" t="str">
        <x:f>IF(COUNTIFS('원자료·매핑'!$B$17:$B$144,$B14,'원자료·매핑'!$C$17:$C$144,$C14,'원자료·매핑'!$L$17:$L$144,"철근")=0,"—",IF(COUNTIFS('원자료·매핑'!$B$17:$B$144,$B14,'원자료·매핑'!$C$17:$C$144,$C14,'원자료·매핑'!$L$17:$L$144,"철근",'원자료·매핑'!$O$17:$O$144,"미산정")&gt;0,"미산정",SUMIFS('원자료·매핑'!$O$17:$O$144,'원자료·매핑'!$B$17:$B$144,$B14,'원자료·매핑'!$C$17:$C$144,$C14,'원자료·매핑'!$L$17:$L$144,"철근")))</x:f>
        <x:v>—</x:v>
      </x:c>
      <x:c r="H14" s="30" t="str">
        <x:f>IF(COUNTIFS('원자료·매핑'!$B$17:$B$144,$B14,'원자료·매핑'!$C$17:$C$144,$C14,'원자료·매핑'!$L$17:$L$144,"유로폼")=0,"—",IF(COUNTIFS('원자료·매핑'!$B$17:$B$144,$B14,'원자료·매핑'!$C$17:$C$144,$C14,'원자료·매핑'!$L$17:$L$144,"유로폼",'원자료·매핑'!$O$17:$O$144,"미산정")&gt;0,"미산정",SUMIFS('원자료·매핑'!$O$17:$O$144,'원자료·매핑'!$B$17:$B$144,$B14,'원자료·매핑'!$C$17:$C$144,$C14,'원자료·매핑'!$L$17:$L$144,"유로폼")))</x:f>
        <x:v>—</x:v>
      </x:c>
      <x:c r="I14" s="30" t="str">
        <x:f>IF(COUNTIFS('원자료·매핑'!$B$17:$B$144,$B14,'원자료·매핑'!$C$17:$C$144,$C14,'원자료·매핑'!$L$17:$L$144,"시스템서포트",'원자료·매핑'!$M$17:$M$144,"동바리 상부자키")=0,"—",IF(COUNTIFS('원자료·매핑'!$B$17:$B$144,$B14,'원자료·매핑'!$C$17:$C$144,$C14,'원자료·매핑'!$L$17:$L$144,"시스템서포트",'원자료·매핑'!$M$17:$M$144,"동바리 상부자키",'원자료·매핑'!$O$17:$O$144,"미산정")&gt;0,"미산정",SUMIFS('원자료·매핑'!$O$17:$O$144,'원자료·매핑'!$B$17:$B$144,$B14,'원자료·매핑'!$C$17:$C$144,$C14,'원자료·매핑'!$L$17:$L$144,"시스템서포트",'원자료·매핑'!$M$17:$M$144,"동바리 상부자키")))</x:f>
        <x:v>—</x:v>
      </x:c>
      <x:c r="J14" s="30" t="str">
        <x:f>IF(COUNTIFS('원자료·매핑'!$B$17:$B$144,$B14,'원자료·매핑'!$C$17:$C$144,$C14,'원자료·매핑'!$L$17:$L$144,"시스템서포트",'원자료·매핑'!$M$17:$M$144,"동바리 하부자키")=0,"—",IF(COUNTIFS('원자료·매핑'!$B$17:$B$144,$B14,'원자료·매핑'!$C$17:$C$144,$C14,'원자료·매핑'!$L$17:$L$144,"시스템서포트",'원자료·매핑'!$M$17:$M$144,"동바리 하부자키",'원자료·매핑'!$O$17:$O$144,"미산정")&gt;0,"미산정",SUMIFS('원자료·매핑'!$O$17:$O$144,'원자료·매핑'!$B$17:$B$144,$B14,'원자료·매핑'!$C$17:$C$144,$C14,'원자료·매핑'!$L$17:$L$144,"시스템서포트",'원자료·매핑'!$M$17:$M$144,"동바리 하부자키")))</x:f>
        <x:v>—</x:v>
      </x:c>
      <x:c r="K14" s="30" t="str">
        <x:f>IF(COUNTIFS('원자료·매핑'!$B$17:$B$144,$B14,'원자료·매핑'!$C$17:$C$144,$C14,'원자료·매핑'!$L$17:$L$144,"시스템서포트",'원자료·매핑'!$M$17:$M$144,"카플링(소켓)")=0,"—",IF(COUNTIFS('원자료·매핑'!$B$17:$B$144,$B14,'원자료·매핑'!$C$17:$C$144,$C14,'원자료·매핑'!$L$17:$L$144,"시스템서포트",'원자료·매핑'!$M$17:$M$144,"카플링(소켓)",'원자료·매핑'!$O$17:$O$144,"미산정")&gt;0,"미산정",SUMIFS('원자료·매핑'!$O$17:$O$144,'원자료·매핑'!$B$17:$B$144,$B14,'원자료·매핑'!$C$17:$C$144,$C14,'원자료·매핑'!$L$17:$L$144,"시스템서포트",'원자료·매핑'!$M$17:$M$144,"카플링(소켓)")))</x:f>
        <x:v>—</x:v>
      </x:c>
      <x:c r="L14" s="25" t="str">
        <x:f>IF(COUNTIFS('원자료·매핑'!$B$17:$B$144,$B14,'원자료·매핑'!$C$17:$C$144,$C14)=0,"신규 없음",IF(COUNTIFS('원자료·매핑'!$B$17:$B$144,$B14,'원자료·매핑'!$C$17:$C$144,$C14,'원자료·매핑'!$N$17:$N$144,"미산정")+COUNTIFS('원자료·매핑'!$B$17:$B$144,$B14,'원자료·매핑'!$C$17:$C$144,$C14,'원자료·매핑'!$N$17:$N$144,"반영",'원자료·매핑'!$O$17:$O$144,"미산정")=COUNTIFS('원자료·매핑'!$B$17:$B$144,$B14,'원자료·매핑'!$C$17:$C$144,$C14),"미산정",IF(COUNTIFS('원자료·매핑'!$B$17:$B$144,$B14,'원자료·매핑'!$C$17:$C$144,$C14,'원자료·매핑'!$N$17:$N$144,"미산정")+COUNTIFS('원자료·매핑'!$B$17:$B$144,$B14,'원자료·매핑'!$C$17:$C$144,$C14,'원자료·매핑'!$N$17:$N$144,"반영",'원자료·매핑'!$O$17:$O$144,"미산정")&gt;0,"일부 반영","반영")))</x:f>
        <x:v>신규 없음</x:v>
      </x:c>
      <x:c r="M14" s="6" t="str">
        <x:v>원자료의 계획 여유 5 WD. 해체·회수 승인일을 의미하지 않음.</x:v>
      </x:c>
      <x:c r="N14" s="78" t="n">
        <x:f>MAX(0,MIN(1,('원자료·매핑'!$B$15-D14+1)/(E14-D14+1)))</x:f>
        <x:v>0</x:v>
      </x:c>
      <x:c r="O14" s="58" t="str">
        <x:f>IF(N14=0,"착수 전",IF(N14=1,"완료(가정)","진행 중(가정)"))</x:f>
        <x:v>착수 전</x:v>
      </x:c>
      <x:c r="P14" s="74" t="n">
        <x:f>MAX(0,E14-MAX(D14-1,'원자료·매핑'!$B$15))</x:f>
        <x:v>5</x:v>
      </x:c>
    </x:row>
    <x:row r="15" ht="58" customHeight="1">
      <x:c r="A15" s="38" t="n">
        <x:v>9</x:v>
      </x:c>
      <x:c r="B15" s="38" t="str">
        <x:v>112동</x:v>
      </x:c>
      <x:c r="C15" s="34" t="str">
        <x:v>준비·먹매김</x:v>
      </x:c>
      <x:c r="D15" s="39" t="n">
        <x:v>16</x:v>
      </x:c>
      <x:c r="E15" s="39" t="n">
        <x:v>17</x:v>
      </x:c>
      <x:c r="F15" s="40" t="n">
        <x:f>E15-D15+1</x:f>
        <x:v>2</x:v>
      </x:c>
      <x:c r="G15" s="43" t="str">
        <x:f>IF(COUNTIFS('원자료·매핑'!$B$17:$B$144,$B15,'원자료·매핑'!$C$17:$C$144,$C15,'원자료·매핑'!$L$17:$L$144,"철근")=0,"—",IF(COUNTIFS('원자료·매핑'!$B$17:$B$144,$B15,'원자료·매핑'!$C$17:$C$144,$C15,'원자료·매핑'!$L$17:$L$144,"철근",'원자료·매핑'!$O$17:$O$144,"미산정")&gt;0,"미산정",SUMIFS('원자료·매핑'!$O$17:$O$144,'원자료·매핑'!$B$17:$B$144,$B15,'원자료·매핑'!$C$17:$C$144,$C15,'원자료·매핑'!$L$17:$L$144,"철근")))</x:f>
        <x:v>—</x:v>
      </x:c>
      <x:c r="H15" s="43" t="str">
        <x:f>IF(COUNTIFS('원자료·매핑'!$B$17:$B$144,$B15,'원자료·매핑'!$C$17:$C$144,$C15,'원자료·매핑'!$L$17:$L$144,"유로폼")=0,"—",IF(COUNTIFS('원자료·매핑'!$B$17:$B$144,$B15,'원자료·매핑'!$C$17:$C$144,$C15,'원자료·매핑'!$L$17:$L$144,"유로폼",'원자료·매핑'!$O$17:$O$144,"미산정")&gt;0,"미산정",SUMIFS('원자료·매핑'!$O$17:$O$144,'원자료·매핑'!$B$17:$B$144,$B15,'원자료·매핑'!$C$17:$C$144,$C15,'원자료·매핑'!$L$17:$L$144,"유로폼")))</x:f>
        <x:v>—</x:v>
      </x:c>
      <x:c r="I15" s="43" t="str">
        <x:f>IF(COUNTIFS('원자료·매핑'!$B$17:$B$144,$B15,'원자료·매핑'!$C$17:$C$144,$C15,'원자료·매핑'!$L$17:$L$144,"시스템서포트",'원자료·매핑'!$M$17:$M$144,"동바리 상부자키")=0,"—",IF(COUNTIFS('원자료·매핑'!$B$17:$B$144,$B15,'원자료·매핑'!$C$17:$C$144,$C15,'원자료·매핑'!$L$17:$L$144,"시스템서포트",'원자료·매핑'!$M$17:$M$144,"동바리 상부자키",'원자료·매핑'!$O$17:$O$144,"미산정")&gt;0,"미산정",SUMIFS('원자료·매핑'!$O$17:$O$144,'원자료·매핑'!$B$17:$B$144,$B15,'원자료·매핑'!$C$17:$C$144,$C15,'원자료·매핑'!$L$17:$L$144,"시스템서포트",'원자료·매핑'!$M$17:$M$144,"동바리 상부자키")))</x:f>
        <x:v>—</x:v>
      </x:c>
      <x:c r="J15" s="43" t="str">
        <x:f>IF(COUNTIFS('원자료·매핑'!$B$17:$B$144,$B15,'원자료·매핑'!$C$17:$C$144,$C15,'원자료·매핑'!$L$17:$L$144,"시스템서포트",'원자료·매핑'!$M$17:$M$144,"동바리 하부자키")=0,"—",IF(COUNTIFS('원자료·매핑'!$B$17:$B$144,$B15,'원자료·매핑'!$C$17:$C$144,$C15,'원자료·매핑'!$L$17:$L$144,"시스템서포트",'원자료·매핑'!$M$17:$M$144,"동바리 하부자키",'원자료·매핑'!$O$17:$O$144,"미산정")&gt;0,"미산정",SUMIFS('원자료·매핑'!$O$17:$O$144,'원자료·매핑'!$B$17:$B$144,$B15,'원자료·매핑'!$C$17:$C$144,$C15,'원자료·매핑'!$L$17:$L$144,"시스템서포트",'원자료·매핑'!$M$17:$M$144,"동바리 하부자키")))</x:f>
        <x:v>—</x:v>
      </x:c>
      <x:c r="K15" s="43" t="str">
        <x:f>IF(COUNTIFS('원자료·매핑'!$B$17:$B$144,$B15,'원자료·매핑'!$C$17:$C$144,$C15,'원자료·매핑'!$L$17:$L$144,"시스템서포트",'원자료·매핑'!$M$17:$M$144,"카플링(소켓)")=0,"—",IF(COUNTIFS('원자료·매핑'!$B$17:$B$144,$B15,'원자료·매핑'!$C$17:$C$144,$C15,'원자료·매핑'!$L$17:$L$144,"시스템서포트",'원자료·매핑'!$M$17:$M$144,"카플링(소켓)",'원자료·매핑'!$O$17:$O$144,"미산정")&gt;0,"미산정",SUMIFS('원자료·매핑'!$O$17:$O$144,'원자료·매핑'!$B$17:$B$144,$B15,'원자료·매핑'!$C$17:$C$144,$C15,'원자료·매핑'!$L$17:$L$144,"시스템서포트",'원자료·매핑'!$M$17:$M$144,"카플링(소켓)")))</x:f>
        <x:v>—</x:v>
      </x:c>
      <x:c r="L15" s="38" t="str">
        <x:f>IF(COUNTIFS('원자료·매핑'!$B$17:$B$144,$B15,'원자료·매핑'!$C$17:$C$144,$C15)=0,"신규 없음",IF(COUNTIFS('원자료·매핑'!$B$17:$B$144,$B15,'원자료·매핑'!$C$17:$C$144,$C15,'원자료·매핑'!$N$17:$N$144,"미산정")+COUNTIFS('원자료·매핑'!$B$17:$B$144,$B15,'원자료·매핑'!$C$17:$C$144,$C15,'원자료·매핑'!$N$17:$N$144,"반영",'원자료·매핑'!$O$17:$O$144,"미산정")=COUNTIFS('원자료·매핑'!$B$17:$B$144,$B15,'원자료·매핑'!$C$17:$C$144,$C15),"미산정",IF(COUNTIFS('원자료·매핑'!$B$17:$B$144,$B15,'원자료·매핑'!$C$17:$C$144,$C15,'원자료·매핑'!$N$17:$N$144,"미산정")+COUNTIFS('원자료·매핑'!$B$17:$B$144,$B15,'원자료·매핑'!$C$17:$C$144,$C15,'원자료·매핑'!$N$17:$N$144,"반영",'원자료·매핑'!$O$17:$O$144,"미산정")&gt;0,"일부 반영","반영")))</x:f>
        <x:v>신규 없음</x:v>
      </x:c>
      <x:c r="M15" s="34" t="str">
        <x:v>등록 자재 신규 투입 계획 없음.</x:v>
      </x:c>
      <x:c r="N15" s="77" t="n">
        <x:f>MAX(0,MIN(1,('원자료·매핑'!$B$15-D15+1)/(E15-D15+1)))</x:f>
        <x:v>0</x:v>
      </x:c>
      <x:c r="O15" s="62" t="str">
        <x:f>IF(N15=0,"착수 전",IF(N15=1,"완료(가정)","진행 중(가정)"))</x:f>
        <x:v>착수 전</x:v>
      </x:c>
      <x:c r="P15" s="73" t="n">
        <x:f>MAX(0,E15-MAX(D15-1,'원자료·매핑'!$B$15))</x:f>
        <x:v>2</x:v>
      </x:c>
    </x:row>
    <x:row r="16" ht="58" customHeight="1">
      <x:c r="A16" s="25" t="n">
        <x:v>10</x:v>
      </x:c>
      <x:c r="B16" s="25" t="str">
        <x:v>112동</x:v>
      </x:c>
      <x:c r="C16" s="6" t="str">
        <x:v>벽체·기둥 철근배근</x:v>
      </x:c>
      <x:c r="D16" s="27" t="n">
        <x:v>18</x:v>
      </x:c>
      <x:c r="E16" s="27" t="n">
        <x:v>22</x:v>
      </x:c>
      <x:c r="F16" s="41" t="n">
        <x:f>E16-D16+1</x:f>
        <x:v>5</x:v>
      </x:c>
      <x:c r="G16" s="30" t="n">
        <x:f>IF(COUNTIFS('원자료·매핑'!$B$17:$B$144,$B16,'원자료·매핑'!$C$17:$C$144,$C16,'원자료·매핑'!$L$17:$L$144,"철근")=0,"—",IF(COUNTIFS('원자료·매핑'!$B$17:$B$144,$B16,'원자료·매핑'!$C$17:$C$144,$C16,'원자료·매핑'!$L$17:$L$144,"철근",'원자료·매핑'!$O$17:$O$144,"미산정")&gt;0,"미산정",SUMIFS('원자료·매핑'!$O$17:$O$144,'원자료·매핑'!$B$17:$B$144,$B16,'원자료·매핑'!$C$17:$C$144,$C16,'원자료·매핑'!$L$17:$L$144,"철근")))</x:f>
        <x:v>22600</x:v>
      </x:c>
      <x:c r="H16" s="30" t="str">
        <x:f>IF(COUNTIFS('원자료·매핑'!$B$17:$B$144,$B16,'원자료·매핑'!$C$17:$C$144,$C16,'원자료·매핑'!$L$17:$L$144,"유로폼")=0,"—",IF(COUNTIFS('원자료·매핑'!$B$17:$B$144,$B16,'원자료·매핑'!$C$17:$C$144,$C16,'원자료·매핑'!$L$17:$L$144,"유로폼",'원자료·매핑'!$O$17:$O$144,"미산정")&gt;0,"미산정",SUMIFS('원자료·매핑'!$O$17:$O$144,'원자료·매핑'!$B$17:$B$144,$B16,'원자료·매핑'!$C$17:$C$144,$C16,'원자료·매핑'!$L$17:$L$144,"유로폼")))</x:f>
        <x:v>—</x:v>
      </x:c>
      <x:c r="I16" s="30" t="str">
        <x:f>IF(COUNTIFS('원자료·매핑'!$B$17:$B$144,$B16,'원자료·매핑'!$C$17:$C$144,$C16,'원자료·매핑'!$L$17:$L$144,"시스템서포트",'원자료·매핑'!$M$17:$M$144,"동바리 상부자키")=0,"—",IF(COUNTIFS('원자료·매핑'!$B$17:$B$144,$B16,'원자료·매핑'!$C$17:$C$144,$C16,'원자료·매핑'!$L$17:$L$144,"시스템서포트",'원자료·매핑'!$M$17:$M$144,"동바리 상부자키",'원자료·매핑'!$O$17:$O$144,"미산정")&gt;0,"미산정",SUMIFS('원자료·매핑'!$O$17:$O$144,'원자료·매핑'!$B$17:$B$144,$B16,'원자료·매핑'!$C$17:$C$144,$C16,'원자료·매핑'!$L$17:$L$144,"시스템서포트",'원자료·매핑'!$M$17:$M$144,"동바리 상부자키")))</x:f>
        <x:v>—</x:v>
      </x:c>
      <x:c r="J16" s="30" t="str">
        <x:f>IF(COUNTIFS('원자료·매핑'!$B$17:$B$144,$B16,'원자료·매핑'!$C$17:$C$144,$C16,'원자료·매핑'!$L$17:$L$144,"시스템서포트",'원자료·매핑'!$M$17:$M$144,"동바리 하부자키")=0,"—",IF(COUNTIFS('원자료·매핑'!$B$17:$B$144,$B16,'원자료·매핑'!$C$17:$C$144,$C16,'원자료·매핑'!$L$17:$L$144,"시스템서포트",'원자료·매핑'!$M$17:$M$144,"동바리 하부자키",'원자료·매핑'!$O$17:$O$144,"미산정")&gt;0,"미산정",SUMIFS('원자료·매핑'!$O$17:$O$144,'원자료·매핑'!$B$17:$B$144,$B16,'원자료·매핑'!$C$17:$C$144,$C16,'원자료·매핑'!$L$17:$L$144,"시스템서포트",'원자료·매핑'!$M$17:$M$144,"동바리 하부자키")))</x:f>
        <x:v>—</x:v>
      </x:c>
      <x:c r="K16" s="30" t="str">
        <x:f>IF(COUNTIFS('원자료·매핑'!$B$17:$B$144,$B16,'원자료·매핑'!$C$17:$C$144,$C16,'원자료·매핑'!$L$17:$L$144,"시스템서포트",'원자료·매핑'!$M$17:$M$144,"카플링(소켓)")=0,"—",IF(COUNTIFS('원자료·매핑'!$B$17:$B$144,$B16,'원자료·매핑'!$C$17:$C$144,$C16,'원자료·매핑'!$L$17:$L$144,"시스템서포트",'원자료·매핑'!$M$17:$M$144,"카플링(소켓)",'원자료·매핑'!$O$17:$O$144,"미산정")&gt;0,"미산정",SUMIFS('원자료·매핑'!$O$17:$O$144,'원자료·매핑'!$B$17:$B$144,$B16,'원자료·매핑'!$C$17:$C$144,$C16,'원자료·매핑'!$L$17:$L$144,"시스템서포트",'원자료·매핑'!$M$17:$M$144,"카플링(소켓)")))</x:f>
        <x:v>—</x:v>
      </x:c>
      <x:c r="L16" s="25" t="str">
        <x:f>IF(COUNTIFS('원자료·매핑'!$B$17:$B$144,$B16,'원자료·매핑'!$C$17:$C$144,$C16)=0,"신규 없음",IF(COUNTIFS('원자료·매핑'!$B$17:$B$144,$B16,'원자료·매핑'!$C$17:$C$144,$C16,'원자료·매핑'!$N$17:$N$144,"미산정")+COUNTIFS('원자료·매핑'!$B$17:$B$144,$B16,'원자료·매핑'!$C$17:$C$144,$C16,'원자료·매핑'!$N$17:$N$144,"반영",'원자료·매핑'!$O$17:$O$144,"미산정")=COUNTIFS('원자료·매핑'!$B$17:$B$144,$B16,'원자료·매핑'!$C$17:$C$144,$C16),"미산정",IF(COUNTIFS('원자료·매핑'!$B$17:$B$144,$B16,'원자료·매핑'!$C$17:$C$144,$C16,'원자료·매핑'!$N$17:$N$144,"미산정")+COUNTIFS('원자료·매핑'!$B$17:$B$144,$B16,'원자료·매핑'!$C$17:$C$144,$C16,'원자료·매핑'!$N$17:$N$144,"반영",'원자료·매핑'!$O$17:$O$144,"미산정")&gt;0,"일부 반영","반영")))</x:f>
        <x:v>반영</x:v>
      </x:c>
      <x:c r="M16" s="6" t="str">
        <x:v>SD500 D10·D13·D16·D19·D22·D25 투입. 길이 미제공, kg 기준 관리.</x:v>
      </x:c>
      <x:c r="N16" s="78" t="n">
        <x:f>MAX(0,MIN(1,('원자료·매핑'!$B$15-D16+1)/(E16-D16+1)))</x:f>
        <x:v>0</x:v>
      </x:c>
      <x:c r="O16" s="58" t="str">
        <x:f>IF(N16=0,"착수 전",IF(N16=1,"완료(가정)","진행 중(가정)"))</x:f>
        <x:v>착수 전</x:v>
      </x:c>
      <x:c r="P16" s="74" t="n">
        <x:f>MAX(0,E16-MAX(D16-1,'원자료·매핑'!$B$15))</x:f>
        <x:v>5</x:v>
      </x:c>
    </x:row>
    <x:row r="17" ht="58" customHeight="1">
      <x:c r="A17" s="24" t="n">
        <x:v>11</x:v>
      </x:c>
      <x:c r="B17" s="24" t="str">
        <x:v>112동</x:v>
      </x:c>
      <x:c r="C17" s="13" t="str">
        <x:v>수직부 거푸집 설치</x:v>
      </x:c>
      <x:c r="D17" s="26" t="n">
        <x:v>23</x:v>
      </x:c>
      <x:c r="E17" s="26" t="n">
        <x:v>29</x:v>
      </x:c>
      <x:c r="F17" s="42" t="n">
        <x:f>E17-D17+1</x:f>
        <x:v>7</x:v>
      </x:c>
      <x:c r="G17" s="29" t="str">
        <x:f>IF(COUNTIFS('원자료·매핑'!$B$17:$B$144,$B17,'원자료·매핑'!$C$17:$C$144,$C17,'원자료·매핑'!$L$17:$L$144,"철근")=0,"—",IF(COUNTIFS('원자료·매핑'!$B$17:$B$144,$B17,'원자료·매핑'!$C$17:$C$144,$C17,'원자료·매핑'!$L$17:$L$144,"철근",'원자료·매핑'!$O$17:$O$144,"미산정")&gt;0,"미산정",SUMIFS('원자료·매핑'!$O$17:$O$144,'원자료·매핑'!$B$17:$B$144,$B17,'원자료·매핑'!$C$17:$C$144,$C17,'원자료·매핑'!$L$17:$L$144,"철근")))</x:f>
        <x:v>—</x:v>
      </x:c>
      <x:c r="H17" s="29" t="n">
        <x:f>IF(COUNTIFS('원자료·매핑'!$B$17:$B$144,$B17,'원자료·매핑'!$C$17:$C$144,$C17,'원자료·매핑'!$L$17:$L$144,"유로폼")=0,"—",IF(COUNTIFS('원자료·매핑'!$B$17:$B$144,$B17,'원자료·매핑'!$C$17:$C$144,$C17,'원자료·매핑'!$L$17:$L$144,"유로폼",'원자료·매핑'!$O$17:$O$144,"미산정")&gt;0,"미산정",SUMIFS('원자료·매핑'!$O$17:$O$144,'원자료·매핑'!$B$17:$B$144,$B17,'원자료·매핑'!$C$17:$C$144,$C17,'원자료·매핑'!$L$17:$L$144,"유로폼")))</x:f>
        <x:v>1480</x:v>
      </x:c>
      <x:c r="I17" s="29" t="str">
        <x:f>IF(COUNTIFS('원자료·매핑'!$B$17:$B$144,$B17,'원자료·매핑'!$C$17:$C$144,$C17,'원자료·매핑'!$L$17:$L$144,"시스템서포트",'원자료·매핑'!$M$17:$M$144,"동바리 상부자키")=0,"—",IF(COUNTIFS('원자료·매핑'!$B$17:$B$144,$B17,'원자료·매핑'!$C$17:$C$144,$C17,'원자료·매핑'!$L$17:$L$144,"시스템서포트",'원자료·매핑'!$M$17:$M$144,"동바리 상부자키",'원자료·매핑'!$O$17:$O$144,"미산정")&gt;0,"미산정",SUMIFS('원자료·매핑'!$O$17:$O$144,'원자료·매핑'!$B$17:$B$144,$B17,'원자료·매핑'!$C$17:$C$144,$C17,'원자료·매핑'!$L$17:$L$144,"시스템서포트",'원자료·매핑'!$M$17:$M$144,"동바리 상부자키")))</x:f>
        <x:v>—</x:v>
      </x:c>
      <x:c r="J17" s="29" t="str">
        <x:f>IF(COUNTIFS('원자료·매핑'!$B$17:$B$144,$B17,'원자료·매핑'!$C$17:$C$144,$C17,'원자료·매핑'!$L$17:$L$144,"시스템서포트",'원자료·매핑'!$M$17:$M$144,"동바리 하부자키")=0,"—",IF(COUNTIFS('원자료·매핑'!$B$17:$B$144,$B17,'원자료·매핑'!$C$17:$C$144,$C17,'원자료·매핑'!$L$17:$L$144,"시스템서포트",'원자료·매핑'!$M$17:$M$144,"동바리 하부자키",'원자료·매핑'!$O$17:$O$144,"미산정")&gt;0,"미산정",SUMIFS('원자료·매핑'!$O$17:$O$144,'원자료·매핑'!$B$17:$B$144,$B17,'원자료·매핑'!$C$17:$C$144,$C17,'원자료·매핑'!$L$17:$L$144,"시스템서포트",'원자료·매핑'!$M$17:$M$144,"동바리 하부자키")))</x:f>
        <x:v>—</x:v>
      </x:c>
      <x:c r="K17" s="29" t="str">
        <x:f>IF(COUNTIFS('원자료·매핑'!$B$17:$B$144,$B17,'원자료·매핑'!$C$17:$C$144,$C17,'원자료·매핑'!$L$17:$L$144,"시스템서포트",'원자료·매핑'!$M$17:$M$144,"카플링(소켓)")=0,"—",IF(COUNTIFS('원자료·매핑'!$B$17:$B$144,$B17,'원자료·매핑'!$C$17:$C$144,$C17,'원자료·매핑'!$L$17:$L$144,"시스템서포트",'원자료·매핑'!$M$17:$M$144,"카플링(소켓)",'원자료·매핑'!$O$17:$O$144,"미산정")&gt;0,"미산정",SUMIFS('원자료·매핑'!$O$17:$O$144,'원자료·매핑'!$B$17:$B$144,$B17,'원자료·매핑'!$C$17:$C$144,$C17,'원자료·매핑'!$L$17:$L$144,"시스템서포트",'원자료·매핑'!$M$17:$M$144,"카플링(소켓)")))</x:f>
        <x:v>—</x:v>
      </x:c>
      <x:c r="L17" s="24" t="str">
        <x:f>IF(COUNTIFS('원자료·매핑'!$B$17:$B$144,$B17,'원자료·매핑'!$C$17:$C$144,$C17)=0,"신규 없음",IF(COUNTIFS('원자료·매핑'!$B$17:$B$144,$B17,'원자료·매핑'!$C$17:$C$144,$C17,'원자료·매핑'!$N$17:$N$144,"미산정")+COUNTIFS('원자료·매핑'!$B$17:$B$144,$B17,'원자료·매핑'!$C$17:$C$144,$C17,'원자료·매핑'!$N$17:$N$144,"반영",'원자료·매핑'!$O$17:$O$144,"미산정")=COUNTIFS('원자료·매핑'!$B$17:$B$144,$B17,'원자료·매핑'!$C$17:$C$144,$C17),"미산정",IF(COUNTIFS('원자료·매핑'!$B$17:$B$144,$B17,'원자료·매핑'!$C$17:$C$144,$C17,'원자료·매핑'!$N$17:$N$144,"미산정")+COUNTIFS('원자료·매핑'!$B$17:$B$144,$B17,'원자료·매핑'!$C$17:$C$144,$C17,'원자료·매핑'!$N$17:$N$144,"반영",'원자료·매핑'!$O$17:$O$144,"미산정")&gt;0,"일부 반영","반영")))</x:f>
        <x:v>일부 반영</x:v>
      </x:c>
      <x:c r="M17" s="13" t="str">
        <x:v>유로폼 500×1200·600×1200·300×1200만 투입. 500×600 및 미등록 부속은 미산정.</x:v>
      </x:c>
      <x:c r="N17" s="77" t="n">
        <x:f>MAX(0,MIN(1,('원자료·매핑'!$B$15-D17+1)/(E17-D17+1)))</x:f>
        <x:v>0</x:v>
      </x:c>
      <x:c r="O17" s="62" t="str">
        <x:f>IF(N17=0,"착수 전",IF(N17=1,"완료(가정)","진행 중(가정)"))</x:f>
        <x:v>착수 전</x:v>
      </x:c>
      <x:c r="P17" s="73" t="n">
        <x:f>MAX(0,E17-MAX(D17-1,'원자료·매핑'!$B$15))</x:f>
        <x:v>7</x:v>
      </x:c>
    </x:row>
    <x:row r="18" ht="58" customHeight="1">
      <x:c r="A18" s="25" t="n">
        <x:v>12</x:v>
      </x:c>
      <x:c r="B18" s="25" t="str">
        <x:v>112동</x:v>
      </x:c>
      <x:c r="C18" s="6" t="str">
        <x:v>시스템동바리 조립</x:v>
      </x:c>
      <x:c r="D18" s="27" t="n">
        <x:v>30</x:v>
      </x:c>
      <x:c r="E18" s="27" t="n">
        <x:v>32</x:v>
      </x:c>
      <x:c r="F18" s="41" t="n">
        <x:f>E18-D18+1</x:f>
        <x:v>3</x:v>
      </x:c>
      <x:c r="G18" s="30" t="str">
        <x:f>IF(COUNTIFS('원자료·매핑'!$B$17:$B$144,$B18,'원자료·매핑'!$C$17:$C$144,$C18,'원자료·매핑'!$L$17:$L$144,"철근")=0,"—",IF(COUNTIFS('원자료·매핑'!$B$17:$B$144,$B18,'원자료·매핑'!$C$17:$C$144,$C18,'원자료·매핑'!$L$17:$L$144,"철근",'원자료·매핑'!$O$17:$O$144,"미산정")&gt;0,"미산정",SUMIFS('원자료·매핑'!$O$17:$O$144,'원자료·매핑'!$B$17:$B$144,$B18,'원자료·매핑'!$C$17:$C$144,$C18,'원자료·매핑'!$L$17:$L$144,"철근")))</x:f>
        <x:v>—</x:v>
      </x:c>
      <x:c r="H18" s="30" t="str">
        <x:f>IF(COUNTIFS('원자료·매핑'!$B$17:$B$144,$B18,'원자료·매핑'!$C$17:$C$144,$C18,'원자료·매핑'!$L$17:$L$144,"유로폼")=0,"—",IF(COUNTIFS('원자료·매핑'!$B$17:$B$144,$B18,'원자료·매핑'!$C$17:$C$144,$C18,'원자료·매핑'!$L$17:$L$144,"유로폼",'원자료·매핑'!$O$17:$O$144,"미산정")&gt;0,"미산정",SUMIFS('원자료·매핑'!$O$17:$O$144,'원자료·매핑'!$B$17:$B$144,$B18,'원자료·매핑'!$C$17:$C$144,$C18,'원자료·매핑'!$L$17:$L$144,"유로폼")))</x:f>
        <x:v>—</x:v>
      </x:c>
      <x:c r="I18" s="30" t="n">
        <x:f>IF(COUNTIFS('원자료·매핑'!$B$17:$B$144,$B18,'원자료·매핑'!$C$17:$C$144,$C18,'원자료·매핑'!$L$17:$L$144,"시스템서포트",'원자료·매핑'!$M$17:$M$144,"동바리 상부자키")=0,"—",IF(COUNTIFS('원자료·매핑'!$B$17:$B$144,$B18,'원자료·매핑'!$C$17:$C$144,$C18,'원자료·매핑'!$L$17:$L$144,"시스템서포트",'원자료·매핑'!$M$17:$M$144,"동바리 상부자키",'원자료·매핑'!$O$17:$O$144,"미산정")&gt;0,"미산정",SUMIFS('원자료·매핑'!$O$17:$O$144,'원자료·매핑'!$B$17:$B$144,$B18,'원자료·매핑'!$C$17:$C$144,$C18,'원자료·매핑'!$L$17:$L$144,"시스템서포트",'원자료·매핑'!$M$17:$M$144,"동바리 상부자키")))</x:f>
        <x:v>588</x:v>
      </x:c>
      <x:c r="J18" s="30" t="n">
        <x:f>IF(COUNTIFS('원자료·매핑'!$B$17:$B$144,$B18,'원자료·매핑'!$C$17:$C$144,$C18,'원자료·매핑'!$L$17:$L$144,"시스템서포트",'원자료·매핑'!$M$17:$M$144,"동바리 하부자키")=0,"—",IF(COUNTIFS('원자료·매핑'!$B$17:$B$144,$B18,'원자료·매핑'!$C$17:$C$144,$C18,'원자료·매핑'!$L$17:$L$144,"시스템서포트",'원자료·매핑'!$M$17:$M$144,"동바리 하부자키",'원자료·매핑'!$O$17:$O$144,"미산정")&gt;0,"미산정",SUMIFS('원자료·매핑'!$O$17:$O$144,'원자료·매핑'!$B$17:$B$144,$B18,'원자료·매핑'!$C$17:$C$144,$C18,'원자료·매핑'!$L$17:$L$144,"시스템서포트",'원자료·매핑'!$M$17:$M$144,"동바리 하부자키")))</x:f>
        <x:v>588</x:v>
      </x:c>
      <x:c r="K18" s="30" t="n">
        <x:f>IF(COUNTIFS('원자료·매핑'!$B$17:$B$144,$B18,'원자료·매핑'!$C$17:$C$144,$C18,'원자료·매핑'!$L$17:$L$144,"시스템서포트",'원자료·매핑'!$M$17:$M$144,"카플링(소켓)")=0,"—",IF(COUNTIFS('원자료·매핑'!$B$17:$B$144,$B18,'원자료·매핑'!$C$17:$C$144,$C18,'원자료·매핑'!$L$17:$L$144,"시스템서포트",'원자료·매핑'!$M$17:$M$144,"카플링(소켓)",'원자료·매핑'!$O$17:$O$144,"미산정")&gt;0,"미산정",SUMIFS('원자료·매핑'!$O$17:$O$144,'원자료·매핑'!$B$17:$B$144,$B18,'원자료·매핑'!$C$17:$C$144,$C18,'원자료·매핑'!$L$17:$L$144,"시스템서포트",'원자료·매핑'!$M$17:$M$144,"카플링(소켓)")))</x:f>
        <x:v>1176</x:v>
      </x:c>
      <x:c r="L18" s="25" t="str">
        <x:f>IF(COUNTIFS('원자료·매핑'!$B$17:$B$144,$B18,'원자료·매핑'!$C$17:$C$144,$C18)=0,"신규 없음",IF(COUNTIFS('원자료·매핑'!$B$17:$B$144,$B18,'원자료·매핑'!$C$17:$C$144,$C18,'원자료·매핑'!$N$17:$N$144,"미산정")+COUNTIFS('원자료·매핑'!$B$17:$B$144,$B18,'원자료·매핑'!$C$17:$C$144,$C18,'원자료·매핑'!$N$17:$N$144,"반영",'원자료·매핑'!$O$17:$O$144,"미산정")=COUNTIFS('원자료·매핑'!$B$17:$B$144,$B18,'원자료·매핑'!$C$17:$C$144,$C18),"미산정",IF(COUNTIFS('원자료·매핑'!$B$17:$B$144,$B18,'원자료·매핑'!$C$17:$C$144,$C18,'원자료·매핑'!$N$17:$N$144,"미산정")+COUNTIFS('원자료·매핑'!$B$17:$B$144,$B18,'원자료·매핑'!$C$17:$C$144,$C18,'원자료·매핑'!$N$17:$N$144,"반영",'원자료·매핑'!$O$17:$O$144,"미산정")&gt;0,"일부 반영","반영")))</x:f>
        <x:v>일부 반영</x:v>
      </x:c>
      <x:c r="M18" s="6" t="str">
        <x:v>상부자키·하부자키·카플링만 산정. 수직·수평·대각재는 등록 규격과 동일성 미확인으로 미산정.</x:v>
      </x:c>
      <x:c r="N18" s="78" t="n">
        <x:f>MAX(0,MIN(1,('원자료·매핑'!$B$15-D18+1)/(E18-D18+1)))</x:f>
        <x:v>0</x:v>
      </x:c>
      <x:c r="O18" s="58" t="str">
        <x:f>IF(N18=0,"착수 전",IF(N18=1,"완료(가정)","진행 중(가정)"))</x:f>
        <x:v>착수 전</x:v>
      </x:c>
      <x:c r="P18" s="74" t="n">
        <x:f>MAX(0,E18-MAX(D18-1,'원자료·매핑'!$B$15))</x:f>
        <x:v>3</x:v>
      </x:c>
    </x:row>
    <x:row r="19" ht="58" customHeight="1">
      <x:c r="A19" s="24" t="n">
        <x:v>13</x:v>
      </x:c>
      <x:c r="B19" s="24" t="str">
        <x:v>112동</x:v>
      </x:c>
      <x:c r="C19" s="13" t="str">
        <x:v>보·슬래브 거푸집</x:v>
      </x:c>
      <x:c r="D19" s="26" t="n">
        <x:v>33</x:v>
      </x:c>
      <x:c r="E19" s="26" t="n">
        <x:v>36</x:v>
      </x:c>
      <x:c r="F19" s="42" t="n">
        <x:f>E19-D19+1</x:f>
        <x:v>4</x:v>
      </x:c>
      <x:c r="G19" s="29" t="str">
        <x:f>IF(COUNTIFS('원자료·매핑'!$B$17:$B$144,$B19,'원자료·매핑'!$C$17:$C$144,$C19,'원자료·매핑'!$L$17:$L$144,"철근")=0,"—",IF(COUNTIFS('원자료·매핑'!$B$17:$B$144,$B19,'원자료·매핑'!$C$17:$C$144,$C19,'원자료·매핑'!$L$17:$L$144,"철근",'원자료·매핑'!$O$17:$O$144,"미산정")&gt;0,"미산정",SUMIFS('원자료·매핑'!$O$17:$O$144,'원자료·매핑'!$B$17:$B$144,$B19,'원자료·매핑'!$C$17:$C$144,$C19,'원자료·매핑'!$L$17:$L$144,"철근")))</x:f>
        <x:v>—</x:v>
      </x:c>
      <x:c r="H19" s="29" t="str">
        <x:f>IF(COUNTIFS('원자료·매핑'!$B$17:$B$144,$B19,'원자료·매핑'!$C$17:$C$144,$C19,'원자료·매핑'!$L$17:$L$144,"유로폼")=0,"—",IF(COUNTIFS('원자료·매핑'!$B$17:$B$144,$B19,'원자료·매핑'!$C$17:$C$144,$C19,'원자료·매핑'!$L$17:$L$144,"유로폼",'원자료·매핑'!$O$17:$O$144,"미산정")&gt;0,"미산정",SUMIFS('원자료·매핑'!$O$17:$O$144,'원자료·매핑'!$B$17:$B$144,$B19,'원자료·매핑'!$C$17:$C$144,$C19,'원자료·매핑'!$L$17:$L$144,"유로폼")))</x:f>
        <x:v>—</x:v>
      </x:c>
      <x:c r="I19" s="29" t="str">
        <x:f>IF(COUNTIFS('원자료·매핑'!$B$17:$B$144,$B19,'원자료·매핑'!$C$17:$C$144,$C19,'원자료·매핑'!$L$17:$L$144,"시스템서포트",'원자료·매핑'!$M$17:$M$144,"동바리 상부자키")=0,"—",IF(COUNTIFS('원자료·매핑'!$B$17:$B$144,$B19,'원자료·매핑'!$C$17:$C$144,$C19,'원자료·매핑'!$L$17:$L$144,"시스템서포트",'원자료·매핑'!$M$17:$M$144,"동바리 상부자키",'원자료·매핑'!$O$17:$O$144,"미산정")&gt;0,"미산정",SUMIFS('원자료·매핑'!$O$17:$O$144,'원자료·매핑'!$B$17:$B$144,$B19,'원자료·매핑'!$C$17:$C$144,$C19,'원자료·매핑'!$L$17:$L$144,"시스템서포트",'원자료·매핑'!$M$17:$M$144,"동바리 상부자키")))</x:f>
        <x:v>—</x:v>
      </x:c>
      <x:c r="J19" s="29" t="str">
        <x:f>IF(COUNTIFS('원자료·매핑'!$B$17:$B$144,$B19,'원자료·매핑'!$C$17:$C$144,$C19,'원자료·매핑'!$L$17:$L$144,"시스템서포트",'원자료·매핑'!$M$17:$M$144,"동바리 하부자키")=0,"—",IF(COUNTIFS('원자료·매핑'!$B$17:$B$144,$B19,'원자료·매핑'!$C$17:$C$144,$C19,'원자료·매핑'!$L$17:$L$144,"시스템서포트",'원자료·매핑'!$M$17:$M$144,"동바리 하부자키",'원자료·매핑'!$O$17:$O$144,"미산정")&gt;0,"미산정",SUMIFS('원자료·매핑'!$O$17:$O$144,'원자료·매핑'!$B$17:$B$144,$B19,'원자료·매핑'!$C$17:$C$144,$C19,'원자료·매핑'!$L$17:$L$144,"시스템서포트",'원자료·매핑'!$M$17:$M$144,"동바리 하부자키")))</x:f>
        <x:v>—</x:v>
      </x:c>
      <x:c r="K19" s="29" t="str">
        <x:f>IF(COUNTIFS('원자료·매핑'!$B$17:$B$144,$B19,'원자료·매핑'!$C$17:$C$144,$C19,'원자료·매핑'!$L$17:$L$144,"시스템서포트",'원자료·매핑'!$M$17:$M$144,"카플링(소켓)")=0,"—",IF(COUNTIFS('원자료·매핑'!$B$17:$B$144,$B19,'원자료·매핑'!$C$17:$C$144,$C19,'원자료·매핑'!$L$17:$L$144,"시스템서포트",'원자료·매핑'!$M$17:$M$144,"카플링(소켓)",'원자료·매핑'!$O$17:$O$144,"미산정")&gt;0,"미산정",SUMIFS('원자료·매핑'!$O$17:$O$144,'원자료·매핑'!$B$17:$B$144,$B19,'원자료·매핑'!$C$17:$C$144,$C19,'원자료·매핑'!$L$17:$L$144,"시스템서포트",'원자료·매핑'!$M$17:$M$144,"카플링(소켓)")))</x:f>
        <x:v>—</x:v>
      </x:c>
      <x:c r="L19" s="24" t="str">
        <x:f>IF(COUNTIFS('원자료·매핑'!$B$17:$B$144,$B19,'원자료·매핑'!$C$17:$C$144,$C19)=0,"신규 없음",IF(COUNTIFS('원자료·매핑'!$B$17:$B$144,$B19,'원자료·매핑'!$C$17:$C$144,$C19,'원자료·매핑'!$N$17:$N$144,"미산정")+COUNTIFS('원자료·매핑'!$B$17:$B$144,$B19,'원자료·매핑'!$C$17:$C$144,$C19,'원자료·매핑'!$N$17:$N$144,"반영",'원자료·매핑'!$O$17:$O$144,"미산정")=COUNTIFS('원자료·매핑'!$B$17:$B$144,$B19,'원자료·매핑'!$C$17:$C$144,$C19),"미산정",IF(COUNTIFS('원자료·매핑'!$B$17:$B$144,$B19,'원자료·매핑'!$C$17:$C$144,$C19,'원자료·매핑'!$N$17:$N$144,"미산정")+COUNTIFS('원자료·매핑'!$B$17:$B$144,$B19,'원자료·매핑'!$C$17:$C$144,$C19,'원자료·매핑'!$N$17:$N$144,"반영",'원자료·매핑'!$O$17:$O$144,"미산정")&gt;0,"일부 반영","반영")))</x:f>
        <x:v>미산정</x:v>
      </x:c>
      <x:c r="M19" s="13" t="str">
        <x:v>일치하는 등록 자재 물량 없음: 미산정. 합판·장선·멍에를 다른 품목으로 대체하지 않음.</x:v>
      </x:c>
      <x:c r="N19" s="77" t="n">
        <x:f>MAX(0,MIN(1,('원자료·매핑'!$B$15-D19+1)/(E19-D19+1)))</x:f>
        <x:v>0</x:v>
      </x:c>
      <x:c r="O19" s="62" t="str">
        <x:f>IF(N19=0,"착수 전",IF(N19=1,"완료(가정)","진행 중(가정)"))</x:f>
        <x:v>착수 전</x:v>
      </x:c>
      <x:c r="P19" s="73" t="n">
        <x:f>MAX(0,E19-MAX(D19-1,'원자료·매핑'!$B$15))</x:f>
        <x:v>4</x:v>
      </x:c>
    </x:row>
    <x:row r="20" ht="58" customHeight="1">
      <x:c r="A20" s="25" t="n">
        <x:v>14</x:v>
      </x:c>
      <x:c r="B20" s="25" t="str">
        <x:v>112동</x:v>
      </x:c>
      <x:c r="C20" s="6" t="str">
        <x:v>보·슬래브 철근배근</x:v>
      </x:c>
      <x:c r="D20" s="27" t="n">
        <x:v>37</x:v>
      </x:c>
      <x:c r="E20" s="27" t="n">
        <x:v>39</x:v>
      </x:c>
      <x:c r="F20" s="41" t="n">
        <x:f>E20-D20+1</x:f>
        <x:v>3</x:v>
      </x:c>
      <x:c r="G20" s="30" t="n">
        <x:f>IF(COUNTIFS('원자료·매핑'!$B$17:$B$144,$B20,'원자료·매핑'!$C$17:$C$144,$C20,'원자료·매핑'!$L$17:$L$144,"철근")=0,"—",IF(COUNTIFS('원자료·매핑'!$B$17:$B$144,$B20,'원자료·매핑'!$C$17:$C$144,$C20,'원자료·매핑'!$L$17:$L$144,"철근",'원자료·매핑'!$O$17:$O$144,"미산정")&gt;0,"미산정",SUMIFS('원자료·매핑'!$O$17:$O$144,'원자료·매핑'!$B$17:$B$144,$B20,'원자료·매핑'!$C$17:$C$144,$C20,'원자료·매핑'!$L$17:$L$144,"철근")))</x:f>
        <x:v>30050</x:v>
      </x:c>
      <x:c r="H20" s="30" t="str">
        <x:f>IF(COUNTIFS('원자료·매핑'!$B$17:$B$144,$B20,'원자료·매핑'!$C$17:$C$144,$C20,'원자료·매핑'!$L$17:$L$144,"유로폼")=0,"—",IF(COUNTIFS('원자료·매핑'!$B$17:$B$144,$B20,'원자료·매핑'!$C$17:$C$144,$C20,'원자료·매핑'!$L$17:$L$144,"유로폼",'원자료·매핑'!$O$17:$O$144,"미산정")&gt;0,"미산정",SUMIFS('원자료·매핑'!$O$17:$O$144,'원자료·매핑'!$B$17:$B$144,$B20,'원자료·매핑'!$C$17:$C$144,$C20,'원자료·매핑'!$L$17:$L$144,"유로폼")))</x:f>
        <x:v>—</x:v>
      </x:c>
      <x:c r="I20" s="30" t="str">
        <x:f>IF(COUNTIFS('원자료·매핑'!$B$17:$B$144,$B20,'원자료·매핑'!$C$17:$C$144,$C20,'원자료·매핑'!$L$17:$L$144,"시스템서포트",'원자료·매핑'!$M$17:$M$144,"동바리 상부자키")=0,"—",IF(COUNTIFS('원자료·매핑'!$B$17:$B$144,$B20,'원자료·매핑'!$C$17:$C$144,$C20,'원자료·매핑'!$L$17:$L$144,"시스템서포트",'원자료·매핑'!$M$17:$M$144,"동바리 상부자키",'원자료·매핑'!$O$17:$O$144,"미산정")&gt;0,"미산정",SUMIFS('원자료·매핑'!$O$17:$O$144,'원자료·매핑'!$B$17:$B$144,$B20,'원자료·매핑'!$C$17:$C$144,$C20,'원자료·매핑'!$L$17:$L$144,"시스템서포트",'원자료·매핑'!$M$17:$M$144,"동바리 상부자키")))</x:f>
        <x:v>—</x:v>
      </x:c>
      <x:c r="J20" s="30" t="str">
        <x:f>IF(COUNTIFS('원자료·매핑'!$B$17:$B$144,$B20,'원자료·매핑'!$C$17:$C$144,$C20,'원자료·매핑'!$L$17:$L$144,"시스템서포트",'원자료·매핑'!$M$17:$M$144,"동바리 하부자키")=0,"—",IF(COUNTIFS('원자료·매핑'!$B$17:$B$144,$B20,'원자료·매핑'!$C$17:$C$144,$C20,'원자료·매핑'!$L$17:$L$144,"시스템서포트",'원자료·매핑'!$M$17:$M$144,"동바리 하부자키",'원자료·매핑'!$O$17:$O$144,"미산정")&gt;0,"미산정",SUMIFS('원자료·매핑'!$O$17:$O$144,'원자료·매핑'!$B$17:$B$144,$B20,'원자료·매핑'!$C$17:$C$144,$C20,'원자료·매핑'!$L$17:$L$144,"시스템서포트",'원자료·매핑'!$M$17:$M$144,"동바리 하부자키")))</x:f>
        <x:v>—</x:v>
      </x:c>
      <x:c r="K20" s="30" t="str">
        <x:f>IF(COUNTIFS('원자료·매핑'!$B$17:$B$144,$B20,'원자료·매핑'!$C$17:$C$144,$C20,'원자료·매핑'!$L$17:$L$144,"시스템서포트",'원자료·매핑'!$M$17:$M$144,"카플링(소켓)")=0,"—",IF(COUNTIFS('원자료·매핑'!$B$17:$B$144,$B20,'원자료·매핑'!$C$17:$C$144,$C20,'원자료·매핑'!$L$17:$L$144,"시스템서포트",'원자료·매핑'!$M$17:$M$144,"카플링(소켓)",'원자료·매핑'!$O$17:$O$144,"미산정")&gt;0,"미산정",SUMIFS('원자료·매핑'!$O$17:$O$144,'원자료·매핑'!$B$17:$B$144,$B20,'원자료·매핑'!$C$17:$C$144,$C20,'원자료·매핑'!$L$17:$L$144,"시스템서포트",'원자료·매핑'!$M$17:$M$144,"카플링(소켓)")))</x:f>
        <x:v>—</x:v>
      </x:c>
      <x:c r="L20" s="25" t="str">
        <x:f>IF(COUNTIFS('원자료·매핑'!$B$17:$B$144,$B20,'원자료·매핑'!$C$17:$C$144,$C20)=0,"신규 없음",IF(COUNTIFS('원자료·매핑'!$B$17:$B$144,$B20,'원자료·매핑'!$C$17:$C$144,$C20,'원자료·매핑'!$N$17:$N$144,"미산정")+COUNTIFS('원자료·매핑'!$B$17:$B$144,$B20,'원자료·매핑'!$C$17:$C$144,$C20,'원자료·매핑'!$N$17:$N$144,"반영",'원자료·매핑'!$O$17:$O$144,"미산정")=COUNTIFS('원자료·매핑'!$B$17:$B$144,$B20,'원자료·매핑'!$C$17:$C$144,$C20),"미산정",IF(COUNTIFS('원자료·매핑'!$B$17:$B$144,$B20,'원자료·매핑'!$C$17:$C$144,$C20,'원자료·매핑'!$N$17:$N$144,"미산정")+COUNTIFS('원자료·매핑'!$B$17:$B$144,$B20,'원자료·매핑'!$C$17:$C$144,$C20,'원자료·매핑'!$N$17:$N$144,"반영",'원자료·매핑'!$O$17:$O$144,"미산정")&gt;0,"일부 반영","반영")))</x:f>
        <x:v>반영</x:v>
      </x:c>
      <x:c r="M20" s="6" t="str">
        <x:v>SD500 D10·D13·D16·D19·D22·D25 투입. 길이 미제공, kg 기준 관리.</x:v>
      </x:c>
      <x:c r="N20" s="78" t="n">
        <x:f>MAX(0,MIN(1,('원자료·매핑'!$B$15-D20+1)/(E20-D20+1)))</x:f>
        <x:v>0</x:v>
      </x:c>
      <x:c r="O20" s="58" t="str">
        <x:f>IF(N20=0,"착수 전",IF(N20=1,"완료(가정)","진행 중(가정)"))</x:f>
        <x:v>착수 전</x:v>
      </x:c>
      <x:c r="P20" s="74" t="n">
        <x:f>MAX(0,E20-MAX(D20-1,'원자료·매핑'!$B$15))</x:f>
        <x:v>3</x:v>
      </x:c>
    </x:row>
    <x:row r="21" ht="58" customHeight="1">
      <x:c r="A21" s="24" t="n">
        <x:v>15</x:v>
      </x:c>
      <x:c r="B21" s="24" t="str">
        <x:v>112동</x:v>
      </x:c>
      <x:c r="C21" s="13" t="str">
        <x:v>검측·콘크리트 타설</x:v>
      </x:c>
      <x:c r="D21" s="26" t="n">
        <x:v>40</x:v>
      </x:c>
      <x:c r="E21" s="26" t="n">
        <x:v>40</x:v>
      </x:c>
      <x:c r="F21" s="42" t="n">
        <x:f>E21-D21+1</x:f>
        <x:v>1</x:v>
      </x:c>
      <x:c r="G21" s="29" t="str">
        <x:f>IF(COUNTIFS('원자료·매핑'!$B$17:$B$144,$B21,'원자료·매핑'!$C$17:$C$144,$C21,'원자료·매핑'!$L$17:$L$144,"철근")=0,"—",IF(COUNTIFS('원자료·매핑'!$B$17:$B$144,$B21,'원자료·매핑'!$C$17:$C$144,$C21,'원자료·매핑'!$L$17:$L$144,"철근",'원자료·매핑'!$O$17:$O$144,"미산정")&gt;0,"미산정",SUMIFS('원자료·매핑'!$O$17:$O$144,'원자료·매핑'!$B$17:$B$144,$B21,'원자료·매핑'!$C$17:$C$144,$C21,'원자료·매핑'!$L$17:$L$144,"철근")))</x:f>
        <x:v>—</x:v>
      </x:c>
      <x:c r="H21" s="29" t="str">
        <x:f>IF(COUNTIFS('원자료·매핑'!$B$17:$B$144,$B21,'원자료·매핑'!$C$17:$C$144,$C21,'원자료·매핑'!$L$17:$L$144,"유로폼")=0,"—",IF(COUNTIFS('원자료·매핑'!$B$17:$B$144,$B21,'원자료·매핑'!$C$17:$C$144,$C21,'원자료·매핑'!$L$17:$L$144,"유로폼",'원자료·매핑'!$O$17:$O$144,"미산정")&gt;0,"미산정",SUMIFS('원자료·매핑'!$O$17:$O$144,'원자료·매핑'!$B$17:$B$144,$B21,'원자료·매핑'!$C$17:$C$144,$C21,'원자료·매핑'!$L$17:$L$144,"유로폼")))</x:f>
        <x:v>—</x:v>
      </x:c>
      <x:c r="I21" s="29" t="str">
        <x:f>IF(COUNTIFS('원자료·매핑'!$B$17:$B$144,$B21,'원자료·매핑'!$C$17:$C$144,$C21,'원자료·매핑'!$L$17:$L$144,"시스템서포트",'원자료·매핑'!$M$17:$M$144,"동바리 상부자키")=0,"—",IF(COUNTIFS('원자료·매핑'!$B$17:$B$144,$B21,'원자료·매핑'!$C$17:$C$144,$C21,'원자료·매핑'!$L$17:$L$144,"시스템서포트",'원자료·매핑'!$M$17:$M$144,"동바리 상부자키",'원자료·매핑'!$O$17:$O$144,"미산정")&gt;0,"미산정",SUMIFS('원자료·매핑'!$O$17:$O$144,'원자료·매핑'!$B$17:$B$144,$B21,'원자료·매핑'!$C$17:$C$144,$C21,'원자료·매핑'!$L$17:$L$144,"시스템서포트",'원자료·매핑'!$M$17:$M$144,"동바리 상부자키")))</x:f>
        <x:v>—</x:v>
      </x:c>
      <x:c r="J21" s="29" t="str">
        <x:f>IF(COUNTIFS('원자료·매핑'!$B$17:$B$144,$B21,'원자료·매핑'!$C$17:$C$144,$C21,'원자료·매핑'!$L$17:$L$144,"시스템서포트",'원자료·매핑'!$M$17:$M$144,"동바리 하부자키")=0,"—",IF(COUNTIFS('원자료·매핑'!$B$17:$B$144,$B21,'원자료·매핑'!$C$17:$C$144,$C21,'원자료·매핑'!$L$17:$L$144,"시스템서포트",'원자료·매핑'!$M$17:$M$144,"동바리 하부자키",'원자료·매핑'!$O$17:$O$144,"미산정")&gt;0,"미산정",SUMIFS('원자료·매핑'!$O$17:$O$144,'원자료·매핑'!$B$17:$B$144,$B21,'원자료·매핑'!$C$17:$C$144,$C21,'원자료·매핑'!$L$17:$L$144,"시스템서포트",'원자료·매핑'!$M$17:$M$144,"동바리 하부자키")))</x:f>
        <x:v>—</x:v>
      </x:c>
      <x:c r="K21" s="29" t="str">
        <x:f>IF(COUNTIFS('원자료·매핑'!$B$17:$B$144,$B21,'원자료·매핑'!$C$17:$C$144,$C21,'원자료·매핑'!$L$17:$L$144,"시스템서포트",'원자료·매핑'!$M$17:$M$144,"카플링(소켓)")=0,"—",IF(COUNTIFS('원자료·매핑'!$B$17:$B$144,$B21,'원자료·매핑'!$C$17:$C$144,$C21,'원자료·매핑'!$L$17:$L$144,"시스템서포트",'원자료·매핑'!$M$17:$M$144,"카플링(소켓)",'원자료·매핑'!$O$17:$O$144,"미산정")&gt;0,"미산정",SUMIFS('원자료·매핑'!$O$17:$O$144,'원자료·매핑'!$B$17:$B$144,$B21,'원자료·매핑'!$C$17:$C$144,$C21,'원자료·매핑'!$L$17:$L$144,"시스템서포트",'원자료·매핑'!$M$17:$M$144,"카플링(소켓)")))</x:f>
        <x:v>—</x:v>
      </x:c>
      <x:c r="L21" s="24" t="str">
        <x:f>IF(COUNTIFS('원자료·매핑'!$B$17:$B$144,$B21,'원자료·매핑'!$C$17:$C$144,$C21)=0,"신규 없음",IF(COUNTIFS('원자료·매핑'!$B$17:$B$144,$B21,'원자료·매핑'!$C$17:$C$144,$C21,'원자료·매핑'!$N$17:$N$144,"미산정")+COUNTIFS('원자료·매핑'!$B$17:$B$144,$B21,'원자료·매핑'!$C$17:$C$144,$C21,'원자료·매핑'!$N$17:$N$144,"반영",'원자료·매핑'!$O$17:$O$144,"미산정")=COUNTIFS('원자료·매핑'!$B$17:$B$144,$B21,'원자료·매핑'!$C$17:$C$144,$C21),"미산정",IF(COUNTIFS('원자료·매핑'!$B$17:$B$144,$B21,'원자료·매핑'!$C$17:$C$144,$C21,'원자료·매핑'!$N$17:$N$144,"미산정")+COUNTIFS('원자료·매핑'!$B$17:$B$144,$B21,'원자료·매핑'!$C$17:$C$144,$C21,'원자료·매핑'!$N$17:$N$144,"반영",'원자료·매핑'!$O$17:$O$144,"미산정")&gt;0,"일부 반영","반영")))</x:f>
        <x:v>신규 없음</x:v>
      </x:c>
      <x:c r="M21" s="13" t="str">
        <x:v>기투입 철근·거푸집·동바리 사용 중. 등록 자재 신규 투입 계획 없음.</x:v>
      </x:c>
      <x:c r="N21" s="77" t="n">
        <x:f>MAX(0,MIN(1,('원자료·매핑'!$B$15-D21+1)/(E21-D21+1)))</x:f>
        <x:v>0</x:v>
      </x:c>
      <x:c r="O21" s="62" t="str">
        <x:f>IF(N21=0,"착수 전",IF(N21=1,"완료(가정)","진행 중(가정)"))</x:f>
        <x:v>착수 전</x:v>
      </x:c>
      <x:c r="P21" s="73" t="n">
        <x:f>MAX(0,E21-MAX(D21-1,'원자료·매핑'!$B$15))</x:f>
        <x:v>1</x:v>
      </x:c>
    </x:row>
    <x:row r="22" ht="58" customHeight="1">
      <x:c r="A22" s="25" t="n">
        <x:v>16</x:v>
      </x:c>
      <x:c r="B22" s="25" t="str">
        <x:v>112동</x:v>
      </x:c>
      <x:c r="C22" s="6" t="str">
        <x:v>계획 여유</x:v>
      </x:c>
      <x:c r="D22" s="27" t="n">
        <x:v>41</x:v>
      </x:c>
      <x:c r="E22" s="27" t="n">
        <x:v>45</x:v>
      </x:c>
      <x:c r="F22" s="41" t="n">
        <x:f>E22-D22+1</x:f>
        <x:v>5</x:v>
      </x:c>
      <x:c r="G22" s="30" t="str">
        <x:f>IF(COUNTIFS('원자료·매핑'!$B$17:$B$144,$B22,'원자료·매핑'!$C$17:$C$144,$C22,'원자료·매핑'!$L$17:$L$144,"철근")=0,"—",IF(COUNTIFS('원자료·매핑'!$B$17:$B$144,$B22,'원자료·매핑'!$C$17:$C$144,$C22,'원자료·매핑'!$L$17:$L$144,"철근",'원자료·매핑'!$O$17:$O$144,"미산정")&gt;0,"미산정",SUMIFS('원자료·매핑'!$O$17:$O$144,'원자료·매핑'!$B$17:$B$144,$B22,'원자료·매핑'!$C$17:$C$144,$C22,'원자료·매핑'!$L$17:$L$144,"철근")))</x:f>
        <x:v>—</x:v>
      </x:c>
      <x:c r="H22" s="30" t="str">
        <x:f>IF(COUNTIFS('원자료·매핑'!$B$17:$B$144,$B22,'원자료·매핑'!$C$17:$C$144,$C22,'원자료·매핑'!$L$17:$L$144,"유로폼")=0,"—",IF(COUNTIFS('원자료·매핑'!$B$17:$B$144,$B22,'원자료·매핑'!$C$17:$C$144,$C22,'원자료·매핑'!$L$17:$L$144,"유로폼",'원자료·매핑'!$O$17:$O$144,"미산정")&gt;0,"미산정",SUMIFS('원자료·매핑'!$O$17:$O$144,'원자료·매핑'!$B$17:$B$144,$B22,'원자료·매핑'!$C$17:$C$144,$C22,'원자료·매핑'!$L$17:$L$144,"유로폼")))</x:f>
        <x:v>—</x:v>
      </x:c>
      <x:c r="I22" s="30" t="str">
        <x:f>IF(COUNTIFS('원자료·매핑'!$B$17:$B$144,$B22,'원자료·매핑'!$C$17:$C$144,$C22,'원자료·매핑'!$L$17:$L$144,"시스템서포트",'원자료·매핑'!$M$17:$M$144,"동바리 상부자키")=0,"—",IF(COUNTIFS('원자료·매핑'!$B$17:$B$144,$B22,'원자료·매핑'!$C$17:$C$144,$C22,'원자료·매핑'!$L$17:$L$144,"시스템서포트",'원자료·매핑'!$M$17:$M$144,"동바리 상부자키",'원자료·매핑'!$O$17:$O$144,"미산정")&gt;0,"미산정",SUMIFS('원자료·매핑'!$O$17:$O$144,'원자료·매핑'!$B$17:$B$144,$B22,'원자료·매핑'!$C$17:$C$144,$C22,'원자료·매핑'!$L$17:$L$144,"시스템서포트",'원자료·매핑'!$M$17:$M$144,"동바리 상부자키")))</x:f>
        <x:v>—</x:v>
      </x:c>
      <x:c r="J22" s="30" t="str">
        <x:f>IF(COUNTIFS('원자료·매핑'!$B$17:$B$144,$B22,'원자료·매핑'!$C$17:$C$144,$C22,'원자료·매핑'!$L$17:$L$144,"시스템서포트",'원자료·매핑'!$M$17:$M$144,"동바리 하부자키")=0,"—",IF(COUNTIFS('원자료·매핑'!$B$17:$B$144,$B22,'원자료·매핑'!$C$17:$C$144,$C22,'원자료·매핑'!$L$17:$L$144,"시스템서포트",'원자료·매핑'!$M$17:$M$144,"동바리 하부자키",'원자료·매핑'!$O$17:$O$144,"미산정")&gt;0,"미산정",SUMIFS('원자료·매핑'!$O$17:$O$144,'원자료·매핑'!$B$17:$B$144,$B22,'원자료·매핑'!$C$17:$C$144,$C22,'원자료·매핑'!$L$17:$L$144,"시스템서포트",'원자료·매핑'!$M$17:$M$144,"동바리 하부자키")))</x:f>
        <x:v>—</x:v>
      </x:c>
      <x:c r="K22" s="30" t="str">
        <x:f>IF(COUNTIFS('원자료·매핑'!$B$17:$B$144,$B22,'원자료·매핑'!$C$17:$C$144,$C22,'원자료·매핑'!$L$17:$L$144,"시스템서포트",'원자료·매핑'!$M$17:$M$144,"카플링(소켓)")=0,"—",IF(COUNTIFS('원자료·매핑'!$B$17:$B$144,$B22,'원자료·매핑'!$C$17:$C$144,$C22,'원자료·매핑'!$L$17:$L$144,"시스템서포트",'원자료·매핑'!$M$17:$M$144,"카플링(소켓)",'원자료·매핑'!$O$17:$O$144,"미산정")&gt;0,"미산정",SUMIFS('원자료·매핑'!$O$17:$O$144,'원자료·매핑'!$B$17:$B$144,$B22,'원자료·매핑'!$C$17:$C$144,$C22,'원자료·매핑'!$L$17:$L$144,"시스템서포트",'원자료·매핑'!$M$17:$M$144,"카플링(소켓)")))</x:f>
        <x:v>—</x:v>
      </x:c>
      <x:c r="L22" s="25" t="str">
        <x:f>IF(COUNTIFS('원자료·매핑'!$B$17:$B$144,$B22,'원자료·매핑'!$C$17:$C$144,$C22)=0,"신규 없음",IF(COUNTIFS('원자료·매핑'!$B$17:$B$144,$B22,'원자료·매핑'!$C$17:$C$144,$C22,'원자료·매핑'!$N$17:$N$144,"미산정")+COUNTIFS('원자료·매핑'!$B$17:$B$144,$B22,'원자료·매핑'!$C$17:$C$144,$C22,'원자료·매핑'!$N$17:$N$144,"반영",'원자료·매핑'!$O$17:$O$144,"미산정")=COUNTIFS('원자료·매핑'!$B$17:$B$144,$B22,'원자료·매핑'!$C$17:$C$144,$C22),"미산정",IF(COUNTIFS('원자료·매핑'!$B$17:$B$144,$B22,'원자료·매핑'!$C$17:$C$144,$C22,'원자료·매핑'!$N$17:$N$144,"미산정")+COUNTIFS('원자료·매핑'!$B$17:$B$144,$B22,'원자료·매핑'!$C$17:$C$144,$C22,'원자료·매핑'!$N$17:$N$144,"반영",'원자료·매핑'!$O$17:$O$144,"미산정")&gt;0,"일부 반영","반영")))</x:f>
        <x:v>신규 없음</x:v>
      </x:c>
      <x:c r="M22" s="6" t="str">
        <x:v>원자료의 계획 여유 5 WD. 해체·회수 승인일을 의미하지 않음.</x:v>
      </x:c>
      <x:c r="N22" s="78" t="n">
        <x:f>MAX(0,MIN(1,('원자료·매핑'!$B$15-D22+1)/(E22-D22+1)))</x:f>
        <x:v>0</x:v>
      </x:c>
      <x:c r="O22" s="58" t="str">
        <x:f>IF(N22=0,"착수 전",IF(N22=1,"완료(가정)","진행 중(가정)"))</x:f>
        <x:v>착수 전</x:v>
      </x:c>
      <x:c r="P22" s="74" t="n">
        <x:f>MAX(0,E22-MAX(D22-1,'원자료·매핑'!$B$15))</x:f>
        <x:v>5</x:v>
      </x:c>
    </x:row>
    <x:row r="23" ht="58" customHeight="1">
      <x:c r="A23" s="38" t="n">
        <x:v>17</x:v>
      </x:c>
      <x:c r="B23" s="38" t="str">
        <x:v>104동</x:v>
      </x:c>
      <x:c r="C23" s="34" t="str">
        <x:v>준비·먹매김</x:v>
      </x:c>
      <x:c r="D23" s="39" t="n">
        <x:v>1</x:v>
      </x:c>
      <x:c r="E23" s="39" t="n">
        <x:v>2</x:v>
      </x:c>
      <x:c r="F23" s="40" t="n">
        <x:f>E23-D23+1</x:f>
        <x:v>2</x:v>
      </x:c>
      <x:c r="G23" s="43" t="str">
        <x:f>IF(COUNTIFS('원자료·매핑'!$B$17:$B$144,$B23,'원자료·매핑'!$C$17:$C$144,$C23,'원자료·매핑'!$L$17:$L$144,"철근")=0,"—",IF(COUNTIFS('원자료·매핑'!$B$17:$B$144,$B23,'원자료·매핑'!$C$17:$C$144,$C23,'원자료·매핑'!$L$17:$L$144,"철근",'원자료·매핑'!$O$17:$O$144,"미산정")&gt;0,"미산정",SUMIFS('원자료·매핑'!$O$17:$O$144,'원자료·매핑'!$B$17:$B$144,$B23,'원자료·매핑'!$C$17:$C$144,$C23,'원자료·매핑'!$L$17:$L$144,"철근")))</x:f>
        <x:v>—</x:v>
      </x:c>
      <x:c r="H23" s="43" t="str">
        <x:f>IF(COUNTIFS('원자료·매핑'!$B$17:$B$144,$B23,'원자료·매핑'!$C$17:$C$144,$C23,'원자료·매핑'!$L$17:$L$144,"유로폼")=0,"—",IF(COUNTIFS('원자료·매핑'!$B$17:$B$144,$B23,'원자료·매핑'!$C$17:$C$144,$C23,'원자료·매핑'!$L$17:$L$144,"유로폼",'원자료·매핑'!$O$17:$O$144,"미산정")&gt;0,"미산정",SUMIFS('원자료·매핑'!$O$17:$O$144,'원자료·매핑'!$B$17:$B$144,$B23,'원자료·매핑'!$C$17:$C$144,$C23,'원자료·매핑'!$L$17:$L$144,"유로폼")))</x:f>
        <x:v>—</x:v>
      </x:c>
      <x:c r="I23" s="43" t="str">
        <x:f>IF(COUNTIFS('원자료·매핑'!$B$17:$B$144,$B23,'원자료·매핑'!$C$17:$C$144,$C23,'원자료·매핑'!$L$17:$L$144,"시스템서포트",'원자료·매핑'!$M$17:$M$144,"동바리 상부자키")=0,"—",IF(COUNTIFS('원자료·매핑'!$B$17:$B$144,$B23,'원자료·매핑'!$C$17:$C$144,$C23,'원자료·매핑'!$L$17:$L$144,"시스템서포트",'원자료·매핑'!$M$17:$M$144,"동바리 상부자키",'원자료·매핑'!$O$17:$O$144,"미산정")&gt;0,"미산정",SUMIFS('원자료·매핑'!$O$17:$O$144,'원자료·매핑'!$B$17:$B$144,$B23,'원자료·매핑'!$C$17:$C$144,$C23,'원자료·매핑'!$L$17:$L$144,"시스템서포트",'원자료·매핑'!$M$17:$M$144,"동바리 상부자키")))</x:f>
        <x:v>—</x:v>
      </x:c>
      <x:c r="J23" s="43" t="str">
        <x:f>IF(COUNTIFS('원자료·매핑'!$B$17:$B$144,$B23,'원자료·매핑'!$C$17:$C$144,$C23,'원자료·매핑'!$L$17:$L$144,"시스템서포트",'원자료·매핑'!$M$17:$M$144,"동바리 하부자키")=0,"—",IF(COUNTIFS('원자료·매핑'!$B$17:$B$144,$B23,'원자료·매핑'!$C$17:$C$144,$C23,'원자료·매핑'!$L$17:$L$144,"시스템서포트",'원자료·매핑'!$M$17:$M$144,"동바리 하부자키",'원자료·매핑'!$O$17:$O$144,"미산정")&gt;0,"미산정",SUMIFS('원자료·매핑'!$O$17:$O$144,'원자료·매핑'!$B$17:$B$144,$B23,'원자료·매핑'!$C$17:$C$144,$C23,'원자료·매핑'!$L$17:$L$144,"시스템서포트",'원자료·매핑'!$M$17:$M$144,"동바리 하부자키")))</x:f>
        <x:v>—</x:v>
      </x:c>
      <x:c r="K23" s="43" t="str">
        <x:f>IF(COUNTIFS('원자료·매핑'!$B$17:$B$144,$B23,'원자료·매핑'!$C$17:$C$144,$C23,'원자료·매핑'!$L$17:$L$144,"시스템서포트",'원자료·매핑'!$M$17:$M$144,"카플링(소켓)")=0,"—",IF(COUNTIFS('원자료·매핑'!$B$17:$B$144,$B23,'원자료·매핑'!$C$17:$C$144,$C23,'원자료·매핑'!$L$17:$L$144,"시스템서포트",'원자료·매핑'!$M$17:$M$144,"카플링(소켓)",'원자료·매핑'!$O$17:$O$144,"미산정")&gt;0,"미산정",SUMIFS('원자료·매핑'!$O$17:$O$144,'원자료·매핑'!$B$17:$B$144,$B23,'원자료·매핑'!$C$17:$C$144,$C23,'원자료·매핑'!$L$17:$L$144,"시스템서포트",'원자료·매핑'!$M$17:$M$144,"카플링(소켓)")))</x:f>
        <x:v>—</x:v>
      </x:c>
      <x:c r="L23" s="38" t="str">
        <x:f>IF(COUNTIFS('원자료·매핑'!$B$17:$B$144,$B23,'원자료·매핑'!$C$17:$C$144,$C23)=0,"신규 없음",IF(COUNTIFS('원자료·매핑'!$B$17:$B$144,$B23,'원자료·매핑'!$C$17:$C$144,$C23,'원자료·매핑'!$N$17:$N$144,"미산정")+COUNTIFS('원자료·매핑'!$B$17:$B$144,$B23,'원자료·매핑'!$C$17:$C$144,$C23,'원자료·매핑'!$N$17:$N$144,"반영",'원자료·매핑'!$O$17:$O$144,"미산정")=COUNTIFS('원자료·매핑'!$B$17:$B$144,$B23,'원자료·매핑'!$C$17:$C$144,$C23),"미산정",IF(COUNTIFS('원자료·매핑'!$B$17:$B$144,$B23,'원자료·매핑'!$C$17:$C$144,$C23,'원자료·매핑'!$N$17:$N$144,"미산정")+COUNTIFS('원자료·매핑'!$B$17:$B$144,$B23,'원자료·매핑'!$C$17:$C$144,$C23,'원자료·매핑'!$N$17:$N$144,"반영",'원자료·매핑'!$O$17:$O$144,"미산정")&gt;0,"일부 반영","반영")))</x:f>
        <x:v>신규 없음</x:v>
      </x:c>
      <x:c r="M23" s="34" t="str">
        <x:v>등록 자재 신규 투입 계획 없음.</x:v>
      </x:c>
      <x:c r="N23" s="77" t="n">
        <x:f>MAX(0,MIN(1,('원자료·매핑'!$B$15-D23+1)/(E23-D23+1)))</x:f>
        <x:v>1</x:v>
      </x:c>
      <x:c r="O23" s="62" t="str">
        <x:f>IF(N23=0,"착수 전",IF(N23=1,"완료(가정)","진행 중(가정)"))</x:f>
        <x:v>완료(가정)</x:v>
      </x:c>
      <x:c r="P23" s="73" t="n">
        <x:f>MAX(0,E23-MAX(D23-1,'원자료·매핑'!$B$15))</x:f>
        <x:v>0</x:v>
      </x:c>
    </x:row>
    <x:row r="24" ht="58" customHeight="1">
      <x:c r="A24" s="25" t="n">
        <x:v>18</x:v>
      </x:c>
      <x:c r="B24" s="25" t="str">
        <x:v>104동</x:v>
      </x:c>
      <x:c r="C24" s="6" t="str">
        <x:v>벽체·기둥 철근배근</x:v>
      </x:c>
      <x:c r="D24" s="27" t="n">
        <x:v>3</x:v>
      </x:c>
      <x:c r="E24" s="27" t="n">
        <x:v>7</x:v>
      </x:c>
      <x:c r="F24" s="41" t="n">
        <x:f>E24-D24+1</x:f>
        <x:v>5</x:v>
      </x:c>
      <x:c r="G24" s="30" t="n">
        <x:f>IF(COUNTIFS('원자료·매핑'!$B$17:$B$144,$B24,'원자료·매핑'!$C$17:$C$144,$C24,'원자료·매핑'!$L$17:$L$144,"철근")=0,"—",IF(COUNTIFS('원자료·매핑'!$B$17:$B$144,$B24,'원자료·매핑'!$C$17:$C$144,$C24,'원자료·매핑'!$L$17:$L$144,"철근",'원자료·매핑'!$O$17:$O$144,"미산정")&gt;0,"미산정",SUMIFS('원자료·매핑'!$O$17:$O$144,'원자료·매핑'!$B$17:$B$144,$B24,'원자료·매핑'!$C$17:$C$144,$C24,'원자료·매핑'!$L$17:$L$144,"철근")))</x:f>
        <x:v>20290</x:v>
      </x:c>
      <x:c r="H24" s="30" t="str">
        <x:f>IF(COUNTIFS('원자료·매핑'!$B$17:$B$144,$B24,'원자료·매핑'!$C$17:$C$144,$C24,'원자료·매핑'!$L$17:$L$144,"유로폼")=0,"—",IF(COUNTIFS('원자료·매핑'!$B$17:$B$144,$B24,'원자료·매핑'!$C$17:$C$144,$C24,'원자료·매핑'!$L$17:$L$144,"유로폼",'원자료·매핑'!$O$17:$O$144,"미산정")&gt;0,"미산정",SUMIFS('원자료·매핑'!$O$17:$O$144,'원자료·매핑'!$B$17:$B$144,$B24,'원자료·매핑'!$C$17:$C$144,$C24,'원자료·매핑'!$L$17:$L$144,"유로폼")))</x:f>
        <x:v>—</x:v>
      </x:c>
      <x:c r="I24" s="30" t="str">
        <x:f>IF(COUNTIFS('원자료·매핑'!$B$17:$B$144,$B24,'원자료·매핑'!$C$17:$C$144,$C24,'원자료·매핑'!$L$17:$L$144,"시스템서포트",'원자료·매핑'!$M$17:$M$144,"동바리 상부자키")=0,"—",IF(COUNTIFS('원자료·매핑'!$B$17:$B$144,$B24,'원자료·매핑'!$C$17:$C$144,$C24,'원자료·매핑'!$L$17:$L$144,"시스템서포트",'원자료·매핑'!$M$17:$M$144,"동바리 상부자키",'원자료·매핑'!$O$17:$O$144,"미산정")&gt;0,"미산정",SUMIFS('원자료·매핑'!$O$17:$O$144,'원자료·매핑'!$B$17:$B$144,$B24,'원자료·매핑'!$C$17:$C$144,$C24,'원자료·매핑'!$L$17:$L$144,"시스템서포트",'원자료·매핑'!$M$17:$M$144,"동바리 상부자키")))</x:f>
        <x:v>—</x:v>
      </x:c>
      <x:c r="J24" s="30" t="str">
        <x:f>IF(COUNTIFS('원자료·매핑'!$B$17:$B$144,$B24,'원자료·매핑'!$C$17:$C$144,$C24,'원자료·매핑'!$L$17:$L$144,"시스템서포트",'원자료·매핑'!$M$17:$M$144,"동바리 하부자키")=0,"—",IF(COUNTIFS('원자료·매핑'!$B$17:$B$144,$B24,'원자료·매핑'!$C$17:$C$144,$C24,'원자료·매핑'!$L$17:$L$144,"시스템서포트",'원자료·매핑'!$M$17:$M$144,"동바리 하부자키",'원자료·매핑'!$O$17:$O$144,"미산정")&gt;0,"미산정",SUMIFS('원자료·매핑'!$O$17:$O$144,'원자료·매핑'!$B$17:$B$144,$B24,'원자료·매핑'!$C$17:$C$144,$C24,'원자료·매핑'!$L$17:$L$144,"시스템서포트",'원자료·매핑'!$M$17:$M$144,"동바리 하부자키")))</x:f>
        <x:v>—</x:v>
      </x:c>
      <x:c r="K24" s="30" t="str">
        <x:f>IF(COUNTIFS('원자료·매핑'!$B$17:$B$144,$B24,'원자료·매핑'!$C$17:$C$144,$C24,'원자료·매핑'!$L$17:$L$144,"시스템서포트",'원자료·매핑'!$M$17:$M$144,"카플링(소켓)")=0,"—",IF(COUNTIFS('원자료·매핑'!$B$17:$B$144,$B24,'원자료·매핑'!$C$17:$C$144,$C24,'원자료·매핑'!$L$17:$L$144,"시스템서포트",'원자료·매핑'!$M$17:$M$144,"카플링(소켓)",'원자료·매핑'!$O$17:$O$144,"미산정")&gt;0,"미산정",SUMIFS('원자료·매핑'!$O$17:$O$144,'원자료·매핑'!$B$17:$B$144,$B24,'원자료·매핑'!$C$17:$C$144,$C24,'원자료·매핑'!$L$17:$L$144,"시스템서포트",'원자료·매핑'!$M$17:$M$144,"카플링(소켓)")))</x:f>
        <x:v>—</x:v>
      </x:c>
      <x:c r="L24" s="25" t="str">
        <x:f>IF(COUNTIFS('원자료·매핑'!$B$17:$B$144,$B24,'원자료·매핑'!$C$17:$C$144,$C24)=0,"신규 없음",IF(COUNTIFS('원자료·매핑'!$B$17:$B$144,$B24,'원자료·매핑'!$C$17:$C$144,$C24,'원자료·매핑'!$N$17:$N$144,"미산정")+COUNTIFS('원자료·매핑'!$B$17:$B$144,$B24,'원자료·매핑'!$C$17:$C$144,$C24,'원자료·매핑'!$N$17:$N$144,"반영",'원자료·매핑'!$O$17:$O$144,"미산정")=COUNTIFS('원자료·매핑'!$B$17:$B$144,$B24,'원자료·매핑'!$C$17:$C$144,$C24),"미산정",IF(COUNTIFS('원자료·매핑'!$B$17:$B$144,$B24,'원자료·매핑'!$C$17:$C$144,$C24,'원자료·매핑'!$N$17:$N$144,"미산정")+COUNTIFS('원자료·매핑'!$B$17:$B$144,$B24,'원자료·매핑'!$C$17:$C$144,$C24,'원자료·매핑'!$N$17:$N$144,"반영",'원자료·매핑'!$O$17:$O$144,"미산정")&gt;0,"일부 반영","반영")))</x:f>
        <x:v>반영</x:v>
      </x:c>
      <x:c r="M24" s="6" t="str">
        <x:v>SD500 D10·D13·D16·D19·D22·D25 투입. 길이 미제공, kg 기준 관리.</x:v>
      </x:c>
      <x:c r="N24" s="78" t="n">
        <x:f>MAX(0,MIN(1,('원자료·매핑'!$B$15-D24+1)/(E24-D24+1)))</x:f>
        <x:v>1</x:v>
      </x:c>
      <x:c r="O24" s="58" t="str">
        <x:f>IF(N24=0,"착수 전",IF(N24=1,"완료(가정)","진행 중(가정)"))</x:f>
        <x:v>완료(가정)</x:v>
      </x:c>
      <x:c r="P24" s="74" t="n">
        <x:f>MAX(0,E24-MAX(D24-1,'원자료·매핑'!$B$15))</x:f>
        <x:v>0</x:v>
      </x:c>
    </x:row>
    <x:row r="25" ht="58" customHeight="1">
      <x:c r="A25" s="24" t="n">
        <x:v>19</x:v>
      </x:c>
      <x:c r="B25" s="24" t="str">
        <x:v>104동</x:v>
      </x:c>
      <x:c r="C25" s="13" t="str">
        <x:v>수직부 거푸집 설치</x:v>
      </x:c>
      <x:c r="D25" s="26" t="n">
        <x:v>8</x:v>
      </x:c>
      <x:c r="E25" s="26" t="n">
        <x:v>14</x:v>
      </x:c>
      <x:c r="F25" s="42" t="n">
        <x:f>E25-D25+1</x:f>
        <x:v>7</x:v>
      </x:c>
      <x:c r="G25" s="29" t="str">
        <x:f>IF(COUNTIFS('원자료·매핑'!$B$17:$B$144,$B25,'원자료·매핑'!$C$17:$C$144,$C25,'원자료·매핑'!$L$17:$L$144,"철근")=0,"—",IF(COUNTIFS('원자료·매핑'!$B$17:$B$144,$B25,'원자료·매핑'!$C$17:$C$144,$C25,'원자료·매핑'!$L$17:$L$144,"철근",'원자료·매핑'!$O$17:$O$144,"미산정")&gt;0,"미산정",SUMIFS('원자료·매핑'!$O$17:$O$144,'원자료·매핑'!$B$17:$B$144,$B25,'원자료·매핑'!$C$17:$C$144,$C25,'원자료·매핑'!$L$17:$L$144,"철근")))</x:f>
        <x:v>—</x:v>
      </x:c>
      <x:c r="H25" s="29" t="n">
        <x:f>IF(COUNTIFS('원자료·매핑'!$B$17:$B$144,$B25,'원자료·매핑'!$C$17:$C$144,$C25,'원자료·매핑'!$L$17:$L$144,"유로폼")=0,"—",IF(COUNTIFS('원자료·매핑'!$B$17:$B$144,$B25,'원자료·매핑'!$C$17:$C$144,$C25,'원자료·매핑'!$L$17:$L$144,"유로폼",'원자료·매핑'!$O$17:$O$144,"미산정")&gt;0,"미산정",SUMIFS('원자료·매핑'!$O$17:$O$144,'원자료·매핑'!$B$17:$B$144,$B25,'원자료·매핑'!$C$17:$C$144,$C25,'원자료·매핑'!$L$17:$L$144,"유로폼")))</x:f>
        <x:v>1337</x:v>
      </x:c>
      <x:c r="I25" s="29" t="str">
        <x:f>IF(COUNTIFS('원자료·매핑'!$B$17:$B$144,$B25,'원자료·매핑'!$C$17:$C$144,$C25,'원자료·매핑'!$L$17:$L$144,"시스템서포트",'원자료·매핑'!$M$17:$M$144,"동바리 상부자키")=0,"—",IF(COUNTIFS('원자료·매핑'!$B$17:$B$144,$B25,'원자료·매핑'!$C$17:$C$144,$C25,'원자료·매핑'!$L$17:$L$144,"시스템서포트",'원자료·매핑'!$M$17:$M$144,"동바리 상부자키",'원자료·매핑'!$O$17:$O$144,"미산정")&gt;0,"미산정",SUMIFS('원자료·매핑'!$O$17:$O$144,'원자료·매핑'!$B$17:$B$144,$B25,'원자료·매핑'!$C$17:$C$144,$C25,'원자료·매핑'!$L$17:$L$144,"시스템서포트",'원자료·매핑'!$M$17:$M$144,"동바리 상부자키")))</x:f>
        <x:v>—</x:v>
      </x:c>
      <x:c r="J25" s="29" t="str">
        <x:f>IF(COUNTIFS('원자료·매핑'!$B$17:$B$144,$B25,'원자료·매핑'!$C$17:$C$144,$C25,'원자료·매핑'!$L$17:$L$144,"시스템서포트",'원자료·매핑'!$M$17:$M$144,"동바리 하부자키")=0,"—",IF(COUNTIFS('원자료·매핑'!$B$17:$B$144,$B25,'원자료·매핑'!$C$17:$C$144,$C25,'원자료·매핑'!$L$17:$L$144,"시스템서포트",'원자료·매핑'!$M$17:$M$144,"동바리 하부자키",'원자료·매핑'!$O$17:$O$144,"미산정")&gt;0,"미산정",SUMIFS('원자료·매핑'!$O$17:$O$144,'원자료·매핑'!$B$17:$B$144,$B25,'원자료·매핑'!$C$17:$C$144,$C25,'원자료·매핑'!$L$17:$L$144,"시스템서포트",'원자료·매핑'!$M$17:$M$144,"동바리 하부자키")))</x:f>
        <x:v>—</x:v>
      </x:c>
      <x:c r="K25" s="29" t="str">
        <x:f>IF(COUNTIFS('원자료·매핑'!$B$17:$B$144,$B25,'원자료·매핑'!$C$17:$C$144,$C25,'원자료·매핑'!$L$17:$L$144,"시스템서포트",'원자료·매핑'!$M$17:$M$144,"카플링(소켓)")=0,"—",IF(COUNTIFS('원자료·매핑'!$B$17:$B$144,$B25,'원자료·매핑'!$C$17:$C$144,$C25,'원자료·매핑'!$L$17:$L$144,"시스템서포트",'원자료·매핑'!$M$17:$M$144,"카플링(소켓)",'원자료·매핑'!$O$17:$O$144,"미산정")&gt;0,"미산정",SUMIFS('원자료·매핑'!$O$17:$O$144,'원자료·매핑'!$B$17:$B$144,$B25,'원자료·매핑'!$C$17:$C$144,$C25,'원자료·매핑'!$L$17:$L$144,"시스템서포트",'원자료·매핑'!$M$17:$M$144,"카플링(소켓)")))</x:f>
        <x:v>—</x:v>
      </x:c>
      <x:c r="L25" s="24" t="str">
        <x:f>IF(COUNTIFS('원자료·매핑'!$B$17:$B$144,$B25,'원자료·매핑'!$C$17:$C$144,$C25)=0,"신규 없음",IF(COUNTIFS('원자료·매핑'!$B$17:$B$144,$B25,'원자료·매핑'!$C$17:$C$144,$C25,'원자료·매핑'!$N$17:$N$144,"미산정")+COUNTIFS('원자료·매핑'!$B$17:$B$144,$B25,'원자료·매핑'!$C$17:$C$144,$C25,'원자료·매핑'!$N$17:$N$144,"반영",'원자료·매핑'!$O$17:$O$144,"미산정")=COUNTIFS('원자료·매핑'!$B$17:$B$144,$B25,'원자료·매핑'!$C$17:$C$144,$C25),"미산정",IF(COUNTIFS('원자료·매핑'!$B$17:$B$144,$B25,'원자료·매핑'!$C$17:$C$144,$C25,'원자료·매핑'!$N$17:$N$144,"미산정")+COUNTIFS('원자료·매핑'!$B$17:$B$144,$B25,'원자료·매핑'!$C$17:$C$144,$C25,'원자료·매핑'!$N$17:$N$144,"반영",'원자료·매핑'!$O$17:$O$144,"미산정")&gt;0,"일부 반영","반영")))</x:f>
        <x:v>일부 반영</x:v>
      </x:c>
      <x:c r="M25" s="13" t="str">
        <x:v>104동 거푸집 설치 진행. 일부 설치·일부 야적 상태로 가정. 기존 규격별 사용 계획량 유지.</x:v>
      </x:c>
      <x:c r="N25" s="77" t="n">
        <x:f>MAX(0,MIN(1,('원자료·매핑'!$B$15-D25+1)/(E25-D25+1)))</x:f>
        <x:v>0.42857142857142855</x:v>
      </x:c>
      <x:c r="O25" s="62" t="str">
        <x:f>IF(N25=0,"착수 전",IF(N25=1,"완료(가정)","진행 중(가정)"))</x:f>
        <x:v>진행 중(가정)</x:v>
      </x:c>
      <x:c r="P25" s="73" t="n">
        <x:f>MAX(0,E25-MAX(D25-1,'원자료·매핑'!$B$15))</x:f>
        <x:v>4</x:v>
      </x:c>
    </x:row>
    <x:row r="26" ht="58" customHeight="1">
      <x:c r="A26" s="25" t="n">
        <x:v>20</x:v>
      </x:c>
      <x:c r="B26" s="25" t="str">
        <x:v>104동</x:v>
      </x:c>
      <x:c r="C26" s="6" t="str">
        <x:v>시스템동바리 조립</x:v>
      </x:c>
      <x:c r="D26" s="27" t="n">
        <x:v>15</x:v>
      </x:c>
      <x:c r="E26" s="27" t="n">
        <x:v>17</x:v>
      </x:c>
      <x:c r="F26" s="41" t="n">
        <x:f>E26-D26+1</x:f>
        <x:v>3</x:v>
      </x:c>
      <x:c r="G26" s="30" t="str">
        <x:f>IF(COUNTIFS('원자료·매핑'!$B$17:$B$144,$B26,'원자료·매핑'!$C$17:$C$144,$C26,'원자료·매핑'!$L$17:$L$144,"철근")=0,"—",IF(COUNTIFS('원자료·매핑'!$B$17:$B$144,$B26,'원자료·매핑'!$C$17:$C$144,$C26,'원자료·매핑'!$L$17:$L$144,"철근",'원자료·매핑'!$O$17:$O$144,"미산정")&gt;0,"미산정",SUMIFS('원자료·매핑'!$O$17:$O$144,'원자료·매핑'!$B$17:$B$144,$B26,'원자료·매핑'!$C$17:$C$144,$C26,'원자료·매핑'!$L$17:$L$144,"철근")))</x:f>
        <x:v>—</x:v>
      </x:c>
      <x:c r="H26" s="30" t="str">
        <x:f>IF(COUNTIFS('원자료·매핑'!$B$17:$B$144,$B26,'원자료·매핑'!$C$17:$C$144,$C26,'원자료·매핑'!$L$17:$L$144,"유로폼")=0,"—",IF(COUNTIFS('원자료·매핑'!$B$17:$B$144,$B26,'원자료·매핑'!$C$17:$C$144,$C26,'원자료·매핑'!$L$17:$L$144,"유로폼",'원자료·매핑'!$O$17:$O$144,"미산정")&gt;0,"미산정",SUMIFS('원자료·매핑'!$O$17:$O$144,'원자료·매핑'!$B$17:$B$144,$B26,'원자료·매핑'!$C$17:$C$144,$C26,'원자료·매핑'!$L$17:$L$144,"유로폼")))</x:f>
        <x:v>—</x:v>
      </x:c>
      <x:c r="I26" s="30" t="n">
        <x:f>IF(COUNTIFS('원자료·매핑'!$B$17:$B$144,$B26,'원자료·매핑'!$C$17:$C$144,$C26,'원자료·매핑'!$L$17:$L$144,"시스템서포트",'원자료·매핑'!$M$17:$M$144,"동바리 상부자키")=0,"—",IF(COUNTIFS('원자료·매핑'!$B$17:$B$144,$B26,'원자료·매핑'!$C$17:$C$144,$C26,'원자료·매핑'!$L$17:$L$144,"시스템서포트",'원자료·매핑'!$M$17:$M$144,"동바리 상부자키",'원자료·매핑'!$O$17:$O$144,"미산정")&gt;0,"미산정",SUMIFS('원자료·매핑'!$O$17:$O$144,'원자료·매핑'!$B$17:$B$144,$B26,'원자료·매핑'!$C$17:$C$144,$C26,'원자료·매핑'!$L$17:$L$144,"시스템서포트",'원자료·매핑'!$M$17:$M$144,"동바리 상부자키")))</x:f>
        <x:v>546</x:v>
      </x:c>
      <x:c r="J26" s="30" t="n">
        <x:f>IF(COUNTIFS('원자료·매핑'!$B$17:$B$144,$B26,'원자료·매핑'!$C$17:$C$144,$C26,'원자료·매핑'!$L$17:$L$144,"시스템서포트",'원자료·매핑'!$M$17:$M$144,"동바리 하부자키")=0,"—",IF(COUNTIFS('원자료·매핑'!$B$17:$B$144,$B26,'원자료·매핑'!$C$17:$C$144,$C26,'원자료·매핑'!$L$17:$L$144,"시스템서포트",'원자료·매핑'!$M$17:$M$144,"동바리 하부자키",'원자료·매핑'!$O$17:$O$144,"미산정")&gt;0,"미산정",SUMIFS('원자료·매핑'!$O$17:$O$144,'원자료·매핑'!$B$17:$B$144,$B26,'원자료·매핑'!$C$17:$C$144,$C26,'원자료·매핑'!$L$17:$L$144,"시스템서포트",'원자료·매핑'!$M$17:$M$144,"동바리 하부자키")))</x:f>
        <x:v>546</x:v>
      </x:c>
      <x:c r="K26" s="30" t="n">
        <x:f>IF(COUNTIFS('원자료·매핑'!$B$17:$B$144,$B26,'원자료·매핑'!$C$17:$C$144,$C26,'원자료·매핑'!$L$17:$L$144,"시스템서포트",'원자료·매핑'!$M$17:$M$144,"카플링(소켓)")=0,"—",IF(COUNTIFS('원자료·매핑'!$B$17:$B$144,$B26,'원자료·매핑'!$C$17:$C$144,$C26,'원자료·매핑'!$L$17:$L$144,"시스템서포트",'원자료·매핑'!$M$17:$M$144,"카플링(소켓)",'원자료·매핑'!$O$17:$O$144,"미산정")&gt;0,"미산정",SUMIFS('원자료·매핑'!$O$17:$O$144,'원자료·매핑'!$B$17:$B$144,$B26,'원자료·매핑'!$C$17:$C$144,$C26,'원자료·매핑'!$L$17:$L$144,"시스템서포트",'원자료·매핑'!$M$17:$M$144,"카플링(소켓)")))</x:f>
        <x:v>1092</x:v>
      </x:c>
      <x:c r="L26" s="25" t="str">
        <x:f>IF(COUNTIFS('원자료·매핑'!$B$17:$B$144,$B26,'원자료·매핑'!$C$17:$C$144,$C26)=0,"신규 없음",IF(COUNTIFS('원자료·매핑'!$B$17:$B$144,$B26,'원자료·매핑'!$C$17:$C$144,$C26,'원자료·매핑'!$N$17:$N$144,"미산정")+COUNTIFS('원자료·매핑'!$B$17:$B$144,$B26,'원자료·매핑'!$C$17:$C$144,$C26,'원자료·매핑'!$N$17:$N$144,"반영",'원자료·매핑'!$O$17:$O$144,"미산정")=COUNTIFS('원자료·매핑'!$B$17:$B$144,$B26,'원자료·매핑'!$C$17:$C$144,$C26),"미산정",IF(COUNTIFS('원자료·매핑'!$B$17:$B$144,$B26,'원자료·매핑'!$C$17:$C$144,$C26,'원자료·매핑'!$N$17:$N$144,"미산정")+COUNTIFS('원자료·매핑'!$B$17:$B$144,$B26,'원자료·매핑'!$C$17:$C$144,$C26,'원자료·매핑'!$N$17:$N$144,"반영",'원자료·매핑'!$O$17:$O$144,"미산정")&gt;0,"일부 반영","반영")))</x:f>
        <x:v>일부 반영</x:v>
      </x:c>
      <x:c r="M26" s="6" t="str">
        <x:v>조립은 착수 전. 상·하부자키·카플링을 WD9 선반입하여 야적 상태로 가정. 미일치 규격은 미산정 유지.</x:v>
      </x:c>
      <x:c r="N26" s="78" t="n">
        <x:f>MAX(0,MIN(1,('원자료·매핑'!$B$15-D26+1)/(E26-D26+1)))</x:f>
        <x:v>0</x:v>
      </x:c>
      <x:c r="O26" s="58" t="str">
        <x:f>IF(N26=0,"착수 전",IF(N26=1,"완료(가정)","진행 중(가정)"))</x:f>
        <x:v>착수 전</x:v>
      </x:c>
      <x:c r="P26" s="74" t="n">
        <x:f>MAX(0,E26-MAX(D26-1,'원자료·매핑'!$B$15))</x:f>
        <x:v>3</x:v>
      </x:c>
    </x:row>
    <x:row r="27" ht="58" customHeight="1">
      <x:c r="A27" s="24" t="n">
        <x:v>21</x:v>
      </x:c>
      <x:c r="B27" s="24" t="str">
        <x:v>104동</x:v>
      </x:c>
      <x:c r="C27" s="13" t="str">
        <x:v>보·슬래브 거푸집</x:v>
      </x:c>
      <x:c r="D27" s="26" t="n">
        <x:v>18</x:v>
      </x:c>
      <x:c r="E27" s="26" t="n">
        <x:v>21</x:v>
      </x:c>
      <x:c r="F27" s="42" t="n">
        <x:f>E27-D27+1</x:f>
        <x:v>4</x:v>
      </x:c>
      <x:c r="G27" s="29" t="str">
        <x:f>IF(COUNTIFS('원자료·매핑'!$B$17:$B$144,$B27,'원자료·매핑'!$C$17:$C$144,$C27,'원자료·매핑'!$L$17:$L$144,"철근")=0,"—",IF(COUNTIFS('원자료·매핑'!$B$17:$B$144,$B27,'원자료·매핑'!$C$17:$C$144,$C27,'원자료·매핑'!$L$17:$L$144,"철근",'원자료·매핑'!$O$17:$O$144,"미산정")&gt;0,"미산정",SUMIFS('원자료·매핑'!$O$17:$O$144,'원자료·매핑'!$B$17:$B$144,$B27,'원자료·매핑'!$C$17:$C$144,$C27,'원자료·매핑'!$L$17:$L$144,"철근")))</x:f>
        <x:v>—</x:v>
      </x:c>
      <x:c r="H27" s="29" t="str">
        <x:f>IF(COUNTIFS('원자료·매핑'!$B$17:$B$144,$B27,'원자료·매핑'!$C$17:$C$144,$C27,'원자료·매핑'!$L$17:$L$144,"유로폼")=0,"—",IF(COUNTIFS('원자료·매핑'!$B$17:$B$144,$B27,'원자료·매핑'!$C$17:$C$144,$C27,'원자료·매핑'!$L$17:$L$144,"유로폼",'원자료·매핑'!$O$17:$O$144,"미산정")&gt;0,"미산정",SUMIFS('원자료·매핑'!$O$17:$O$144,'원자료·매핑'!$B$17:$B$144,$B27,'원자료·매핑'!$C$17:$C$144,$C27,'원자료·매핑'!$L$17:$L$144,"유로폼")))</x:f>
        <x:v>—</x:v>
      </x:c>
      <x:c r="I27" s="29" t="str">
        <x:f>IF(COUNTIFS('원자료·매핑'!$B$17:$B$144,$B27,'원자료·매핑'!$C$17:$C$144,$C27,'원자료·매핑'!$L$17:$L$144,"시스템서포트",'원자료·매핑'!$M$17:$M$144,"동바리 상부자키")=0,"—",IF(COUNTIFS('원자료·매핑'!$B$17:$B$144,$B27,'원자료·매핑'!$C$17:$C$144,$C27,'원자료·매핑'!$L$17:$L$144,"시스템서포트",'원자료·매핑'!$M$17:$M$144,"동바리 상부자키",'원자료·매핑'!$O$17:$O$144,"미산정")&gt;0,"미산정",SUMIFS('원자료·매핑'!$O$17:$O$144,'원자료·매핑'!$B$17:$B$144,$B27,'원자료·매핑'!$C$17:$C$144,$C27,'원자료·매핑'!$L$17:$L$144,"시스템서포트",'원자료·매핑'!$M$17:$M$144,"동바리 상부자키")))</x:f>
        <x:v>—</x:v>
      </x:c>
      <x:c r="J27" s="29" t="str">
        <x:f>IF(COUNTIFS('원자료·매핑'!$B$17:$B$144,$B27,'원자료·매핑'!$C$17:$C$144,$C27,'원자료·매핑'!$L$17:$L$144,"시스템서포트",'원자료·매핑'!$M$17:$M$144,"동바리 하부자키")=0,"—",IF(COUNTIFS('원자료·매핑'!$B$17:$B$144,$B27,'원자료·매핑'!$C$17:$C$144,$C27,'원자료·매핑'!$L$17:$L$144,"시스템서포트",'원자료·매핑'!$M$17:$M$144,"동바리 하부자키",'원자료·매핑'!$O$17:$O$144,"미산정")&gt;0,"미산정",SUMIFS('원자료·매핑'!$O$17:$O$144,'원자료·매핑'!$B$17:$B$144,$B27,'원자료·매핑'!$C$17:$C$144,$C27,'원자료·매핑'!$L$17:$L$144,"시스템서포트",'원자료·매핑'!$M$17:$M$144,"동바리 하부자키")))</x:f>
        <x:v>—</x:v>
      </x:c>
      <x:c r="K27" s="29" t="str">
        <x:f>IF(COUNTIFS('원자료·매핑'!$B$17:$B$144,$B27,'원자료·매핑'!$C$17:$C$144,$C27,'원자료·매핑'!$L$17:$L$144,"시스템서포트",'원자료·매핑'!$M$17:$M$144,"카플링(소켓)")=0,"—",IF(COUNTIFS('원자료·매핑'!$B$17:$B$144,$B27,'원자료·매핑'!$C$17:$C$144,$C27,'원자료·매핑'!$L$17:$L$144,"시스템서포트",'원자료·매핑'!$M$17:$M$144,"카플링(소켓)",'원자료·매핑'!$O$17:$O$144,"미산정")&gt;0,"미산정",SUMIFS('원자료·매핑'!$O$17:$O$144,'원자료·매핑'!$B$17:$B$144,$B27,'원자료·매핑'!$C$17:$C$144,$C27,'원자료·매핑'!$L$17:$L$144,"시스템서포트",'원자료·매핑'!$M$17:$M$144,"카플링(소켓)")))</x:f>
        <x:v>—</x:v>
      </x:c>
      <x:c r="L27" s="24" t="str">
        <x:f>IF(COUNTIFS('원자료·매핑'!$B$17:$B$144,$B27,'원자료·매핑'!$C$17:$C$144,$C27)=0,"신규 없음",IF(COUNTIFS('원자료·매핑'!$B$17:$B$144,$B27,'원자료·매핑'!$C$17:$C$144,$C27,'원자료·매핑'!$N$17:$N$144,"미산정")+COUNTIFS('원자료·매핑'!$B$17:$B$144,$B27,'원자료·매핑'!$C$17:$C$144,$C27,'원자료·매핑'!$N$17:$N$144,"반영",'원자료·매핑'!$O$17:$O$144,"미산정")=COUNTIFS('원자료·매핑'!$B$17:$B$144,$B27,'원자료·매핑'!$C$17:$C$144,$C27),"미산정",IF(COUNTIFS('원자료·매핑'!$B$17:$B$144,$B27,'원자료·매핑'!$C$17:$C$144,$C27,'원자료·매핑'!$N$17:$N$144,"미산정")+COUNTIFS('원자료·매핑'!$B$17:$B$144,$B27,'원자료·매핑'!$C$17:$C$144,$C27,'원자료·매핑'!$N$17:$N$144,"반영",'원자료·매핑'!$O$17:$O$144,"미산정")&gt;0,"일부 반영","반영")))</x:f>
        <x:v>미산정</x:v>
      </x:c>
      <x:c r="M27" s="13" t="str">
        <x:v>일치하는 등록 자재 물량 없음: 미산정. 합판·장선·멍에를 다른 품목으로 대체하지 않음.</x:v>
      </x:c>
      <x:c r="N27" s="77" t="n">
        <x:f>MAX(0,MIN(1,('원자료·매핑'!$B$15-D27+1)/(E27-D27+1)))</x:f>
        <x:v>0</x:v>
      </x:c>
      <x:c r="O27" s="62" t="str">
        <x:f>IF(N27=0,"착수 전",IF(N27=1,"완료(가정)","진행 중(가정)"))</x:f>
        <x:v>착수 전</x:v>
      </x:c>
      <x:c r="P27" s="73" t="n">
        <x:f>MAX(0,E27-MAX(D27-1,'원자료·매핑'!$B$15))</x:f>
        <x:v>4</x:v>
      </x:c>
    </x:row>
    <x:row r="28" ht="58" customHeight="1">
      <x:c r="A28" s="25" t="n">
        <x:v>22</x:v>
      </x:c>
      <x:c r="B28" s="25" t="str">
        <x:v>104동</x:v>
      </x:c>
      <x:c r="C28" s="6" t="str">
        <x:v>보·슬래브 철근배근</x:v>
      </x:c>
      <x:c r="D28" s="27" t="n">
        <x:v>22</x:v>
      </x:c>
      <x:c r="E28" s="27" t="n">
        <x:v>24</x:v>
      </x:c>
      <x:c r="F28" s="41" t="n">
        <x:f>E28-D28+1</x:f>
        <x:v>3</x:v>
      </x:c>
      <x:c r="G28" s="30" t="n">
        <x:f>IF(COUNTIFS('원자료·매핑'!$B$17:$B$144,$B28,'원자료·매핑'!$C$17:$C$144,$C28,'원자료·매핑'!$L$17:$L$144,"철근")=0,"—",IF(COUNTIFS('원자료·매핑'!$B$17:$B$144,$B28,'원자료·매핑'!$C$17:$C$144,$C28,'원자료·매핑'!$L$17:$L$144,"철근",'원자료·매핑'!$O$17:$O$144,"미산정")&gt;0,"미산정",SUMIFS('원자료·매핑'!$O$17:$O$144,'원자료·매핑'!$B$17:$B$144,$B28,'원자료·매핑'!$C$17:$C$144,$C28,'원자료·매핑'!$L$17:$L$144,"철근")))</x:f>
        <x:v>27650</x:v>
      </x:c>
      <x:c r="H28" s="30" t="str">
        <x:f>IF(COUNTIFS('원자료·매핑'!$B$17:$B$144,$B28,'원자료·매핑'!$C$17:$C$144,$C28,'원자료·매핑'!$L$17:$L$144,"유로폼")=0,"—",IF(COUNTIFS('원자료·매핑'!$B$17:$B$144,$B28,'원자료·매핑'!$C$17:$C$144,$C28,'원자료·매핑'!$L$17:$L$144,"유로폼",'원자료·매핑'!$O$17:$O$144,"미산정")&gt;0,"미산정",SUMIFS('원자료·매핑'!$O$17:$O$144,'원자료·매핑'!$B$17:$B$144,$B28,'원자료·매핑'!$C$17:$C$144,$C28,'원자료·매핑'!$L$17:$L$144,"유로폼")))</x:f>
        <x:v>—</x:v>
      </x:c>
      <x:c r="I28" s="30" t="str">
        <x:f>IF(COUNTIFS('원자료·매핑'!$B$17:$B$144,$B28,'원자료·매핑'!$C$17:$C$144,$C28,'원자료·매핑'!$L$17:$L$144,"시스템서포트",'원자료·매핑'!$M$17:$M$144,"동바리 상부자키")=0,"—",IF(COUNTIFS('원자료·매핑'!$B$17:$B$144,$B28,'원자료·매핑'!$C$17:$C$144,$C28,'원자료·매핑'!$L$17:$L$144,"시스템서포트",'원자료·매핑'!$M$17:$M$144,"동바리 상부자키",'원자료·매핑'!$O$17:$O$144,"미산정")&gt;0,"미산정",SUMIFS('원자료·매핑'!$O$17:$O$144,'원자료·매핑'!$B$17:$B$144,$B28,'원자료·매핑'!$C$17:$C$144,$C28,'원자료·매핑'!$L$17:$L$144,"시스템서포트",'원자료·매핑'!$M$17:$M$144,"동바리 상부자키")))</x:f>
        <x:v>—</x:v>
      </x:c>
      <x:c r="J28" s="30" t="str">
        <x:f>IF(COUNTIFS('원자료·매핑'!$B$17:$B$144,$B28,'원자료·매핑'!$C$17:$C$144,$C28,'원자료·매핑'!$L$17:$L$144,"시스템서포트",'원자료·매핑'!$M$17:$M$144,"동바리 하부자키")=0,"—",IF(COUNTIFS('원자료·매핑'!$B$17:$B$144,$B28,'원자료·매핑'!$C$17:$C$144,$C28,'원자료·매핑'!$L$17:$L$144,"시스템서포트",'원자료·매핑'!$M$17:$M$144,"동바리 하부자키",'원자료·매핑'!$O$17:$O$144,"미산정")&gt;0,"미산정",SUMIFS('원자료·매핑'!$O$17:$O$144,'원자료·매핑'!$B$17:$B$144,$B28,'원자료·매핑'!$C$17:$C$144,$C28,'원자료·매핑'!$L$17:$L$144,"시스템서포트",'원자료·매핑'!$M$17:$M$144,"동바리 하부자키")))</x:f>
        <x:v>—</x:v>
      </x:c>
      <x:c r="K28" s="30" t="str">
        <x:f>IF(COUNTIFS('원자료·매핑'!$B$17:$B$144,$B28,'원자료·매핑'!$C$17:$C$144,$C28,'원자료·매핑'!$L$17:$L$144,"시스템서포트",'원자료·매핑'!$M$17:$M$144,"카플링(소켓)")=0,"—",IF(COUNTIFS('원자료·매핑'!$B$17:$B$144,$B28,'원자료·매핑'!$C$17:$C$144,$C28,'원자료·매핑'!$L$17:$L$144,"시스템서포트",'원자료·매핑'!$M$17:$M$144,"카플링(소켓)",'원자료·매핑'!$O$17:$O$144,"미산정")&gt;0,"미산정",SUMIFS('원자료·매핑'!$O$17:$O$144,'원자료·매핑'!$B$17:$B$144,$B28,'원자료·매핑'!$C$17:$C$144,$C28,'원자료·매핑'!$L$17:$L$144,"시스템서포트",'원자료·매핑'!$M$17:$M$144,"카플링(소켓)")))</x:f>
        <x:v>—</x:v>
      </x:c>
      <x:c r="L28" s="25" t="str">
        <x:f>IF(COUNTIFS('원자료·매핑'!$B$17:$B$144,$B28,'원자료·매핑'!$C$17:$C$144,$C28)=0,"신규 없음",IF(COUNTIFS('원자료·매핑'!$B$17:$B$144,$B28,'원자료·매핑'!$C$17:$C$144,$C28,'원자료·매핑'!$N$17:$N$144,"미산정")+COUNTIFS('원자료·매핑'!$B$17:$B$144,$B28,'원자료·매핑'!$C$17:$C$144,$C28,'원자료·매핑'!$N$17:$N$144,"반영",'원자료·매핑'!$O$17:$O$144,"미산정")=COUNTIFS('원자료·매핑'!$B$17:$B$144,$B28,'원자료·매핑'!$C$17:$C$144,$C28),"미산정",IF(COUNTIFS('원자료·매핑'!$B$17:$B$144,$B28,'원자료·매핑'!$C$17:$C$144,$C28,'원자료·매핑'!$N$17:$N$144,"미산정")+COUNTIFS('원자료·매핑'!$B$17:$B$144,$B28,'원자료·매핑'!$C$17:$C$144,$C28,'원자료·매핑'!$N$17:$N$144,"반영",'원자료·매핑'!$O$17:$O$144,"미산정")&gt;0,"일부 반영","반영")))</x:f>
        <x:v>반영</x:v>
      </x:c>
      <x:c r="M28" s="6" t="str">
        <x:v>작업은 착수 전. 철근은 WD10 선반입하여 현재 야적재고로 관리.</x:v>
      </x:c>
      <x:c r="N28" s="78" t="n">
        <x:f>MAX(0,MIN(1,('원자료·매핑'!$B$15-D28+1)/(E28-D28+1)))</x:f>
        <x:v>0</x:v>
      </x:c>
      <x:c r="O28" s="58" t="str">
        <x:f>IF(N28=0,"착수 전",IF(N28=1,"완료(가정)","진행 중(가정)"))</x:f>
        <x:v>착수 전</x:v>
      </x:c>
      <x:c r="P28" s="74" t="n">
        <x:f>MAX(0,E28-MAX(D28-1,'원자료·매핑'!$B$15))</x:f>
        <x:v>3</x:v>
      </x:c>
    </x:row>
    <x:row r="29" ht="58" customHeight="1">
      <x:c r="A29" s="24" t="n">
        <x:v>23</x:v>
      </x:c>
      <x:c r="B29" s="24" t="str">
        <x:v>104동</x:v>
      </x:c>
      <x:c r="C29" s="13" t="str">
        <x:v>검측·콘크리트 타설</x:v>
      </x:c>
      <x:c r="D29" s="26" t="n">
        <x:v>25</x:v>
      </x:c>
      <x:c r="E29" s="26" t="n">
        <x:v>25</x:v>
      </x:c>
      <x:c r="F29" s="42" t="n">
        <x:f>E29-D29+1</x:f>
        <x:v>1</x:v>
      </x:c>
      <x:c r="G29" s="29" t="str">
        <x:f>IF(COUNTIFS('원자료·매핑'!$B$17:$B$144,$B29,'원자료·매핑'!$C$17:$C$144,$C29,'원자료·매핑'!$L$17:$L$144,"철근")=0,"—",IF(COUNTIFS('원자료·매핑'!$B$17:$B$144,$B29,'원자료·매핑'!$C$17:$C$144,$C29,'원자료·매핑'!$L$17:$L$144,"철근",'원자료·매핑'!$O$17:$O$144,"미산정")&gt;0,"미산정",SUMIFS('원자료·매핑'!$O$17:$O$144,'원자료·매핑'!$B$17:$B$144,$B29,'원자료·매핑'!$C$17:$C$144,$C29,'원자료·매핑'!$L$17:$L$144,"철근")))</x:f>
        <x:v>—</x:v>
      </x:c>
      <x:c r="H29" s="29" t="str">
        <x:f>IF(COUNTIFS('원자료·매핑'!$B$17:$B$144,$B29,'원자료·매핑'!$C$17:$C$144,$C29,'원자료·매핑'!$L$17:$L$144,"유로폼")=0,"—",IF(COUNTIFS('원자료·매핑'!$B$17:$B$144,$B29,'원자료·매핑'!$C$17:$C$144,$C29,'원자료·매핑'!$L$17:$L$144,"유로폼",'원자료·매핑'!$O$17:$O$144,"미산정")&gt;0,"미산정",SUMIFS('원자료·매핑'!$O$17:$O$144,'원자료·매핑'!$B$17:$B$144,$B29,'원자료·매핑'!$C$17:$C$144,$C29,'원자료·매핑'!$L$17:$L$144,"유로폼")))</x:f>
        <x:v>—</x:v>
      </x:c>
      <x:c r="I29" s="29" t="str">
        <x:f>IF(COUNTIFS('원자료·매핑'!$B$17:$B$144,$B29,'원자료·매핑'!$C$17:$C$144,$C29,'원자료·매핑'!$L$17:$L$144,"시스템서포트",'원자료·매핑'!$M$17:$M$144,"동바리 상부자키")=0,"—",IF(COUNTIFS('원자료·매핑'!$B$17:$B$144,$B29,'원자료·매핑'!$C$17:$C$144,$C29,'원자료·매핑'!$L$17:$L$144,"시스템서포트",'원자료·매핑'!$M$17:$M$144,"동바리 상부자키",'원자료·매핑'!$O$17:$O$144,"미산정")&gt;0,"미산정",SUMIFS('원자료·매핑'!$O$17:$O$144,'원자료·매핑'!$B$17:$B$144,$B29,'원자료·매핑'!$C$17:$C$144,$C29,'원자료·매핑'!$L$17:$L$144,"시스템서포트",'원자료·매핑'!$M$17:$M$144,"동바리 상부자키")))</x:f>
        <x:v>—</x:v>
      </x:c>
      <x:c r="J29" s="29" t="str">
        <x:f>IF(COUNTIFS('원자료·매핑'!$B$17:$B$144,$B29,'원자료·매핑'!$C$17:$C$144,$C29,'원자료·매핑'!$L$17:$L$144,"시스템서포트",'원자료·매핑'!$M$17:$M$144,"동바리 하부자키")=0,"—",IF(COUNTIFS('원자료·매핑'!$B$17:$B$144,$B29,'원자료·매핑'!$C$17:$C$144,$C29,'원자료·매핑'!$L$17:$L$144,"시스템서포트",'원자료·매핑'!$M$17:$M$144,"동바리 하부자키",'원자료·매핑'!$O$17:$O$144,"미산정")&gt;0,"미산정",SUMIFS('원자료·매핑'!$O$17:$O$144,'원자료·매핑'!$B$17:$B$144,$B29,'원자료·매핑'!$C$17:$C$144,$C29,'원자료·매핑'!$L$17:$L$144,"시스템서포트",'원자료·매핑'!$M$17:$M$144,"동바리 하부자키")))</x:f>
        <x:v>—</x:v>
      </x:c>
      <x:c r="K29" s="29" t="str">
        <x:f>IF(COUNTIFS('원자료·매핑'!$B$17:$B$144,$B29,'원자료·매핑'!$C$17:$C$144,$C29,'원자료·매핑'!$L$17:$L$144,"시스템서포트",'원자료·매핑'!$M$17:$M$144,"카플링(소켓)")=0,"—",IF(COUNTIFS('원자료·매핑'!$B$17:$B$144,$B29,'원자료·매핑'!$C$17:$C$144,$C29,'원자료·매핑'!$L$17:$L$144,"시스템서포트",'원자료·매핑'!$M$17:$M$144,"카플링(소켓)",'원자료·매핑'!$O$17:$O$144,"미산정")&gt;0,"미산정",SUMIFS('원자료·매핑'!$O$17:$O$144,'원자료·매핑'!$B$17:$B$144,$B29,'원자료·매핑'!$C$17:$C$144,$C29,'원자료·매핑'!$L$17:$L$144,"시스템서포트",'원자료·매핑'!$M$17:$M$144,"카플링(소켓)")))</x:f>
        <x:v>—</x:v>
      </x:c>
      <x:c r="L29" s="24" t="str">
        <x:f>IF(COUNTIFS('원자료·매핑'!$B$17:$B$144,$B29,'원자료·매핑'!$C$17:$C$144,$C29)=0,"신규 없음",IF(COUNTIFS('원자료·매핑'!$B$17:$B$144,$B29,'원자료·매핑'!$C$17:$C$144,$C29,'원자료·매핑'!$N$17:$N$144,"미산정")+COUNTIFS('원자료·매핑'!$B$17:$B$144,$B29,'원자료·매핑'!$C$17:$C$144,$C29,'원자료·매핑'!$N$17:$N$144,"반영",'원자료·매핑'!$O$17:$O$144,"미산정")=COUNTIFS('원자료·매핑'!$B$17:$B$144,$B29,'원자료·매핑'!$C$17:$C$144,$C29),"미산정",IF(COUNTIFS('원자료·매핑'!$B$17:$B$144,$B29,'원자료·매핑'!$C$17:$C$144,$C29,'원자료·매핑'!$N$17:$N$144,"미산정")+COUNTIFS('원자료·매핑'!$B$17:$B$144,$B29,'원자료·매핑'!$C$17:$C$144,$C29,'원자료·매핑'!$N$17:$N$144,"반영",'원자료·매핑'!$O$17:$O$144,"미산정")&gt;0,"일부 반영","반영")))</x:f>
        <x:v>신규 없음</x:v>
      </x:c>
      <x:c r="M29" s="13" t="str">
        <x:v>기투입 철근·거푸집·동바리 사용 중. 등록 자재 신규 투입 계획 없음.</x:v>
      </x:c>
      <x:c r="N29" s="77" t="n">
        <x:f>MAX(0,MIN(1,('원자료·매핑'!$B$15-D29+1)/(E29-D29+1)))</x:f>
        <x:v>0</x:v>
      </x:c>
      <x:c r="O29" s="62" t="str">
        <x:f>IF(N29=0,"착수 전",IF(N29=1,"완료(가정)","진행 중(가정)"))</x:f>
        <x:v>착수 전</x:v>
      </x:c>
      <x:c r="P29" s="73" t="n">
        <x:f>MAX(0,E29-MAX(D29-1,'원자료·매핑'!$B$15))</x:f>
        <x:v>1</x:v>
      </x:c>
    </x:row>
    <x:row r="30" ht="58" customHeight="1">
      <x:c r="A30" s="25" t="n">
        <x:v>24</x:v>
      </x:c>
      <x:c r="B30" s="25" t="str">
        <x:v>104동</x:v>
      </x:c>
      <x:c r="C30" s="6" t="str">
        <x:v>계획 여유</x:v>
      </x:c>
      <x:c r="D30" s="27" t="n">
        <x:v>26</x:v>
      </x:c>
      <x:c r="E30" s="27" t="n">
        <x:v>30</x:v>
      </x:c>
      <x:c r="F30" s="41" t="n">
        <x:f>E30-D30+1</x:f>
        <x:v>5</x:v>
      </x:c>
      <x:c r="G30" s="30" t="str">
        <x:f>IF(COUNTIFS('원자료·매핑'!$B$17:$B$144,$B30,'원자료·매핑'!$C$17:$C$144,$C30,'원자료·매핑'!$L$17:$L$144,"철근")=0,"—",IF(COUNTIFS('원자료·매핑'!$B$17:$B$144,$B30,'원자료·매핑'!$C$17:$C$144,$C30,'원자료·매핑'!$L$17:$L$144,"철근",'원자료·매핑'!$O$17:$O$144,"미산정")&gt;0,"미산정",SUMIFS('원자료·매핑'!$O$17:$O$144,'원자료·매핑'!$B$17:$B$144,$B30,'원자료·매핑'!$C$17:$C$144,$C30,'원자료·매핑'!$L$17:$L$144,"철근")))</x:f>
        <x:v>—</x:v>
      </x:c>
      <x:c r="H30" s="30" t="str">
        <x:f>IF(COUNTIFS('원자료·매핑'!$B$17:$B$144,$B30,'원자료·매핑'!$C$17:$C$144,$C30,'원자료·매핑'!$L$17:$L$144,"유로폼")=0,"—",IF(COUNTIFS('원자료·매핑'!$B$17:$B$144,$B30,'원자료·매핑'!$C$17:$C$144,$C30,'원자료·매핑'!$L$17:$L$144,"유로폼",'원자료·매핑'!$O$17:$O$144,"미산정")&gt;0,"미산정",SUMIFS('원자료·매핑'!$O$17:$O$144,'원자료·매핑'!$B$17:$B$144,$B30,'원자료·매핑'!$C$17:$C$144,$C30,'원자료·매핑'!$L$17:$L$144,"유로폼")))</x:f>
        <x:v>—</x:v>
      </x:c>
      <x:c r="I30" s="30" t="str">
        <x:f>IF(COUNTIFS('원자료·매핑'!$B$17:$B$144,$B30,'원자료·매핑'!$C$17:$C$144,$C30,'원자료·매핑'!$L$17:$L$144,"시스템서포트",'원자료·매핑'!$M$17:$M$144,"동바리 상부자키")=0,"—",IF(COUNTIFS('원자료·매핑'!$B$17:$B$144,$B30,'원자료·매핑'!$C$17:$C$144,$C30,'원자료·매핑'!$L$17:$L$144,"시스템서포트",'원자료·매핑'!$M$17:$M$144,"동바리 상부자키",'원자료·매핑'!$O$17:$O$144,"미산정")&gt;0,"미산정",SUMIFS('원자료·매핑'!$O$17:$O$144,'원자료·매핑'!$B$17:$B$144,$B30,'원자료·매핑'!$C$17:$C$144,$C30,'원자료·매핑'!$L$17:$L$144,"시스템서포트",'원자료·매핑'!$M$17:$M$144,"동바리 상부자키")))</x:f>
        <x:v>—</x:v>
      </x:c>
      <x:c r="J30" s="30" t="str">
        <x:f>IF(COUNTIFS('원자료·매핑'!$B$17:$B$144,$B30,'원자료·매핑'!$C$17:$C$144,$C30,'원자료·매핑'!$L$17:$L$144,"시스템서포트",'원자료·매핑'!$M$17:$M$144,"동바리 하부자키")=0,"—",IF(COUNTIFS('원자료·매핑'!$B$17:$B$144,$B30,'원자료·매핑'!$C$17:$C$144,$C30,'원자료·매핑'!$L$17:$L$144,"시스템서포트",'원자료·매핑'!$M$17:$M$144,"동바리 하부자키",'원자료·매핑'!$O$17:$O$144,"미산정")&gt;0,"미산정",SUMIFS('원자료·매핑'!$O$17:$O$144,'원자료·매핑'!$B$17:$B$144,$B30,'원자료·매핑'!$C$17:$C$144,$C30,'원자료·매핑'!$L$17:$L$144,"시스템서포트",'원자료·매핑'!$M$17:$M$144,"동바리 하부자키")))</x:f>
        <x:v>—</x:v>
      </x:c>
      <x:c r="K30" s="30" t="str">
        <x:f>IF(COUNTIFS('원자료·매핑'!$B$17:$B$144,$B30,'원자료·매핑'!$C$17:$C$144,$C30,'원자료·매핑'!$L$17:$L$144,"시스템서포트",'원자료·매핑'!$M$17:$M$144,"카플링(소켓)")=0,"—",IF(COUNTIFS('원자료·매핑'!$B$17:$B$144,$B30,'원자료·매핑'!$C$17:$C$144,$C30,'원자료·매핑'!$L$17:$L$144,"시스템서포트",'원자료·매핑'!$M$17:$M$144,"카플링(소켓)",'원자료·매핑'!$O$17:$O$144,"미산정")&gt;0,"미산정",SUMIFS('원자료·매핑'!$O$17:$O$144,'원자료·매핑'!$B$17:$B$144,$B30,'원자료·매핑'!$C$17:$C$144,$C30,'원자료·매핑'!$L$17:$L$144,"시스템서포트",'원자료·매핑'!$M$17:$M$144,"카플링(소켓)")))</x:f>
        <x:v>—</x:v>
      </x:c>
      <x:c r="L30" s="25" t="str">
        <x:f>IF(COUNTIFS('원자료·매핑'!$B$17:$B$144,$B30,'원자료·매핑'!$C$17:$C$144,$C30)=0,"신규 없음",IF(COUNTIFS('원자료·매핑'!$B$17:$B$144,$B30,'원자료·매핑'!$C$17:$C$144,$C30,'원자료·매핑'!$N$17:$N$144,"미산정")+COUNTIFS('원자료·매핑'!$B$17:$B$144,$B30,'원자료·매핑'!$C$17:$C$144,$C30,'원자료·매핑'!$N$17:$N$144,"반영",'원자료·매핑'!$O$17:$O$144,"미산정")=COUNTIFS('원자료·매핑'!$B$17:$B$144,$B30,'원자료·매핑'!$C$17:$C$144,$C30),"미산정",IF(COUNTIFS('원자료·매핑'!$B$17:$B$144,$B30,'원자료·매핑'!$C$17:$C$144,$C30,'원자료·매핑'!$N$17:$N$144,"미산정")+COUNTIFS('원자료·매핑'!$B$17:$B$144,$B30,'원자료·매핑'!$C$17:$C$144,$C30,'원자료·매핑'!$N$17:$N$144,"반영",'원자료·매핑'!$O$17:$O$144,"미산정")&gt;0,"일부 반영","반영")))</x:f>
        <x:v>신규 없음</x:v>
      </x:c>
      <x:c r="M30" s="6" t="str">
        <x:v>원자료의 계획 여유 5 WD. 해체·회수 승인일을 의미하지 않음.</x:v>
      </x:c>
      <x:c r="N30" s="78" t="n">
        <x:f>MAX(0,MIN(1,('원자료·매핑'!$B$15-D30+1)/(E30-D30+1)))</x:f>
        <x:v>0</x:v>
      </x:c>
      <x:c r="O30" s="58" t="str">
        <x:f>IF(N30=0,"착수 전",IF(N30=1,"완료(가정)","진행 중(가정)"))</x:f>
        <x:v>착수 전</x:v>
      </x:c>
      <x:c r="P30" s="74" t="n">
        <x:f>MAX(0,E30-MAX(D30-1,'원자료·매핑'!$B$15))</x:f>
        <x:v>5</x:v>
      </x:c>
    </x:row>
    <x:row r="31" ht="58" customHeight="1">
      <x:c r="A31" s="38" t="n">
        <x:v>25</x:v>
      </x:c>
      <x:c r="B31" s="38" t="str">
        <x:v>105동</x:v>
      </x:c>
      <x:c r="C31" s="34" t="str">
        <x:v>준비·먹매김</x:v>
      </x:c>
      <x:c r="D31" s="39" t="n">
        <x:v>6</x:v>
      </x:c>
      <x:c r="E31" s="39" t="n">
        <x:v>7</x:v>
      </x:c>
      <x:c r="F31" s="40" t="n">
        <x:f>E31-D31+1</x:f>
        <x:v>2</x:v>
      </x:c>
      <x:c r="G31" s="43" t="str">
        <x:f>IF(COUNTIFS('원자료·매핑'!$B$17:$B$144,$B31,'원자료·매핑'!$C$17:$C$144,$C31,'원자료·매핑'!$L$17:$L$144,"철근")=0,"—",IF(COUNTIFS('원자료·매핑'!$B$17:$B$144,$B31,'원자료·매핑'!$C$17:$C$144,$C31,'원자료·매핑'!$L$17:$L$144,"철근",'원자료·매핑'!$O$17:$O$144,"미산정")&gt;0,"미산정",SUMIFS('원자료·매핑'!$O$17:$O$144,'원자료·매핑'!$B$17:$B$144,$B31,'원자료·매핑'!$C$17:$C$144,$C31,'원자료·매핑'!$L$17:$L$144,"철근")))</x:f>
        <x:v>—</x:v>
      </x:c>
      <x:c r="H31" s="43" t="str">
        <x:f>IF(COUNTIFS('원자료·매핑'!$B$17:$B$144,$B31,'원자료·매핑'!$C$17:$C$144,$C31,'원자료·매핑'!$L$17:$L$144,"유로폼")=0,"—",IF(COUNTIFS('원자료·매핑'!$B$17:$B$144,$B31,'원자료·매핑'!$C$17:$C$144,$C31,'원자료·매핑'!$L$17:$L$144,"유로폼",'원자료·매핑'!$O$17:$O$144,"미산정")&gt;0,"미산정",SUMIFS('원자료·매핑'!$O$17:$O$144,'원자료·매핑'!$B$17:$B$144,$B31,'원자료·매핑'!$C$17:$C$144,$C31,'원자료·매핑'!$L$17:$L$144,"유로폼")))</x:f>
        <x:v>—</x:v>
      </x:c>
      <x:c r="I31" s="43" t="str">
        <x:f>IF(COUNTIFS('원자료·매핑'!$B$17:$B$144,$B31,'원자료·매핑'!$C$17:$C$144,$C31,'원자료·매핑'!$L$17:$L$144,"시스템서포트",'원자료·매핑'!$M$17:$M$144,"동바리 상부자키")=0,"—",IF(COUNTIFS('원자료·매핑'!$B$17:$B$144,$B31,'원자료·매핑'!$C$17:$C$144,$C31,'원자료·매핑'!$L$17:$L$144,"시스템서포트",'원자료·매핑'!$M$17:$M$144,"동바리 상부자키",'원자료·매핑'!$O$17:$O$144,"미산정")&gt;0,"미산정",SUMIFS('원자료·매핑'!$O$17:$O$144,'원자료·매핑'!$B$17:$B$144,$B31,'원자료·매핑'!$C$17:$C$144,$C31,'원자료·매핑'!$L$17:$L$144,"시스템서포트",'원자료·매핑'!$M$17:$M$144,"동바리 상부자키")))</x:f>
        <x:v>—</x:v>
      </x:c>
      <x:c r="J31" s="43" t="str">
        <x:f>IF(COUNTIFS('원자료·매핑'!$B$17:$B$144,$B31,'원자료·매핑'!$C$17:$C$144,$C31,'원자료·매핑'!$L$17:$L$144,"시스템서포트",'원자료·매핑'!$M$17:$M$144,"동바리 하부자키")=0,"—",IF(COUNTIFS('원자료·매핑'!$B$17:$B$144,$B31,'원자료·매핑'!$C$17:$C$144,$C31,'원자료·매핑'!$L$17:$L$144,"시스템서포트",'원자료·매핑'!$M$17:$M$144,"동바리 하부자키",'원자료·매핑'!$O$17:$O$144,"미산정")&gt;0,"미산정",SUMIFS('원자료·매핑'!$O$17:$O$144,'원자료·매핑'!$B$17:$B$144,$B31,'원자료·매핑'!$C$17:$C$144,$C31,'원자료·매핑'!$L$17:$L$144,"시스템서포트",'원자료·매핑'!$M$17:$M$144,"동바리 하부자키")))</x:f>
        <x:v>—</x:v>
      </x:c>
      <x:c r="K31" s="43" t="str">
        <x:f>IF(COUNTIFS('원자료·매핑'!$B$17:$B$144,$B31,'원자료·매핑'!$C$17:$C$144,$C31,'원자료·매핑'!$L$17:$L$144,"시스템서포트",'원자료·매핑'!$M$17:$M$144,"카플링(소켓)")=0,"—",IF(COUNTIFS('원자료·매핑'!$B$17:$B$144,$B31,'원자료·매핑'!$C$17:$C$144,$C31,'원자료·매핑'!$L$17:$L$144,"시스템서포트",'원자료·매핑'!$M$17:$M$144,"카플링(소켓)",'원자료·매핑'!$O$17:$O$144,"미산정")&gt;0,"미산정",SUMIFS('원자료·매핑'!$O$17:$O$144,'원자료·매핑'!$B$17:$B$144,$B31,'원자료·매핑'!$C$17:$C$144,$C31,'원자료·매핑'!$L$17:$L$144,"시스템서포트",'원자료·매핑'!$M$17:$M$144,"카플링(소켓)")))</x:f>
        <x:v>—</x:v>
      </x:c>
      <x:c r="L31" s="38" t="str">
        <x:f>IF(COUNTIFS('원자료·매핑'!$B$17:$B$144,$B31,'원자료·매핑'!$C$17:$C$144,$C31)=0,"신규 없음",IF(COUNTIFS('원자료·매핑'!$B$17:$B$144,$B31,'원자료·매핑'!$C$17:$C$144,$C31,'원자료·매핑'!$N$17:$N$144,"미산정")+COUNTIFS('원자료·매핑'!$B$17:$B$144,$B31,'원자료·매핑'!$C$17:$C$144,$C31,'원자료·매핑'!$N$17:$N$144,"반영",'원자료·매핑'!$O$17:$O$144,"미산정")=COUNTIFS('원자료·매핑'!$B$17:$B$144,$B31,'원자료·매핑'!$C$17:$C$144,$C31),"미산정",IF(COUNTIFS('원자료·매핑'!$B$17:$B$144,$B31,'원자료·매핑'!$C$17:$C$144,$C31,'원자료·매핑'!$N$17:$N$144,"미산정")+COUNTIFS('원자료·매핑'!$B$17:$B$144,$B31,'원자료·매핑'!$C$17:$C$144,$C31,'원자료·매핑'!$N$17:$N$144,"반영",'원자료·매핑'!$O$17:$O$144,"미산정")&gt;0,"일부 반영","반영")))</x:f>
        <x:v>신규 없음</x:v>
      </x:c>
      <x:c r="M31" s="34" t="str">
        <x:v>등록 자재 신규 투입 계획 없음.</x:v>
      </x:c>
      <x:c r="N31" s="77" t="n">
        <x:f>MAX(0,MIN(1,('원자료·매핑'!$B$15-D31+1)/(E31-D31+1)))</x:f>
        <x:v>1</x:v>
      </x:c>
      <x:c r="O31" s="62" t="str">
        <x:f>IF(N31=0,"착수 전",IF(N31=1,"완료(가정)","진행 중(가정)"))</x:f>
        <x:v>완료(가정)</x:v>
      </x:c>
      <x:c r="P31" s="73" t="n">
        <x:f>MAX(0,E31-MAX(D31-1,'원자료·매핑'!$B$15))</x:f>
        <x:v>0</x:v>
      </x:c>
    </x:row>
    <x:row r="32" ht="58" customHeight="1">
      <x:c r="A32" s="25" t="n">
        <x:v>26</x:v>
      </x:c>
      <x:c r="B32" s="25" t="str">
        <x:v>105동</x:v>
      </x:c>
      <x:c r="C32" s="6" t="str">
        <x:v>벽체·기둥 철근배근</x:v>
      </x:c>
      <x:c r="D32" s="27" t="n">
        <x:v>8</x:v>
      </x:c>
      <x:c r="E32" s="27" t="n">
        <x:v>12</x:v>
      </x:c>
      <x:c r="F32" s="41" t="n">
        <x:f>E32-D32+1</x:f>
        <x:v>5</x:v>
      </x:c>
      <x:c r="G32" s="30" t="n">
        <x:f>IF(COUNTIFS('원자료·매핑'!$B$17:$B$144,$B32,'원자료·매핑'!$C$17:$C$144,$C32,'원자료·매핑'!$L$17:$L$144,"철근")=0,"—",IF(COUNTIFS('원자료·매핑'!$B$17:$B$144,$B32,'원자료·매핑'!$C$17:$C$144,$C32,'원자료·매핑'!$L$17:$L$144,"철근",'원자료·매핑'!$O$17:$O$144,"미산정")&gt;0,"미산정",SUMIFS('원자료·매핑'!$O$17:$O$144,'원자료·매핑'!$B$17:$B$144,$B32,'원자료·매핑'!$C$17:$C$144,$C32,'원자료·매핑'!$L$17:$L$144,"철근")))</x:f>
        <x:v>24920</x:v>
      </x:c>
      <x:c r="H32" s="30" t="str">
        <x:f>IF(COUNTIFS('원자료·매핑'!$B$17:$B$144,$B32,'원자료·매핑'!$C$17:$C$144,$C32,'원자료·매핑'!$L$17:$L$144,"유로폼")=0,"—",IF(COUNTIFS('원자료·매핑'!$B$17:$B$144,$B32,'원자료·매핑'!$C$17:$C$144,$C32,'원자료·매핑'!$L$17:$L$144,"유로폼",'원자료·매핑'!$O$17:$O$144,"미산정")&gt;0,"미산정",SUMIFS('원자료·매핑'!$O$17:$O$144,'원자료·매핑'!$B$17:$B$144,$B32,'원자료·매핑'!$C$17:$C$144,$C32,'원자료·매핑'!$L$17:$L$144,"유로폼")))</x:f>
        <x:v>—</x:v>
      </x:c>
      <x:c r="I32" s="30" t="str">
        <x:f>IF(COUNTIFS('원자료·매핑'!$B$17:$B$144,$B32,'원자료·매핑'!$C$17:$C$144,$C32,'원자료·매핑'!$L$17:$L$144,"시스템서포트",'원자료·매핑'!$M$17:$M$144,"동바리 상부자키")=0,"—",IF(COUNTIFS('원자료·매핑'!$B$17:$B$144,$B32,'원자료·매핑'!$C$17:$C$144,$C32,'원자료·매핑'!$L$17:$L$144,"시스템서포트",'원자료·매핑'!$M$17:$M$144,"동바리 상부자키",'원자료·매핑'!$O$17:$O$144,"미산정")&gt;0,"미산정",SUMIFS('원자료·매핑'!$O$17:$O$144,'원자료·매핑'!$B$17:$B$144,$B32,'원자료·매핑'!$C$17:$C$144,$C32,'원자료·매핑'!$L$17:$L$144,"시스템서포트",'원자료·매핑'!$M$17:$M$144,"동바리 상부자키")))</x:f>
        <x:v>—</x:v>
      </x:c>
      <x:c r="J32" s="30" t="str">
        <x:f>IF(COUNTIFS('원자료·매핑'!$B$17:$B$144,$B32,'원자료·매핑'!$C$17:$C$144,$C32,'원자료·매핑'!$L$17:$L$144,"시스템서포트",'원자료·매핑'!$M$17:$M$144,"동바리 하부자키")=0,"—",IF(COUNTIFS('원자료·매핑'!$B$17:$B$144,$B32,'원자료·매핑'!$C$17:$C$144,$C32,'원자료·매핑'!$L$17:$L$144,"시스템서포트",'원자료·매핑'!$M$17:$M$144,"동바리 하부자키",'원자료·매핑'!$O$17:$O$144,"미산정")&gt;0,"미산정",SUMIFS('원자료·매핑'!$O$17:$O$144,'원자료·매핑'!$B$17:$B$144,$B32,'원자료·매핑'!$C$17:$C$144,$C32,'원자료·매핑'!$L$17:$L$144,"시스템서포트",'원자료·매핑'!$M$17:$M$144,"동바리 하부자키")))</x:f>
        <x:v>—</x:v>
      </x:c>
      <x:c r="K32" s="30" t="str">
        <x:f>IF(COUNTIFS('원자료·매핑'!$B$17:$B$144,$B32,'원자료·매핑'!$C$17:$C$144,$C32,'원자료·매핑'!$L$17:$L$144,"시스템서포트",'원자료·매핑'!$M$17:$M$144,"카플링(소켓)")=0,"—",IF(COUNTIFS('원자료·매핑'!$B$17:$B$144,$B32,'원자료·매핑'!$C$17:$C$144,$C32,'원자료·매핑'!$L$17:$L$144,"시스템서포트",'원자료·매핑'!$M$17:$M$144,"카플링(소켓)",'원자료·매핑'!$O$17:$O$144,"미산정")&gt;0,"미산정",SUMIFS('원자료·매핑'!$O$17:$O$144,'원자료·매핑'!$B$17:$B$144,$B32,'원자료·매핑'!$C$17:$C$144,$C32,'원자료·매핑'!$L$17:$L$144,"시스템서포트",'원자료·매핑'!$M$17:$M$144,"카플링(소켓)")))</x:f>
        <x:v>—</x:v>
      </x:c>
      <x:c r="L32" s="25" t="str">
        <x:f>IF(COUNTIFS('원자료·매핑'!$B$17:$B$144,$B32,'원자료·매핑'!$C$17:$C$144,$C32)=0,"신규 없음",IF(COUNTIFS('원자료·매핑'!$B$17:$B$144,$B32,'원자료·매핑'!$C$17:$C$144,$C32,'원자료·매핑'!$N$17:$N$144,"미산정")+COUNTIFS('원자료·매핑'!$B$17:$B$144,$B32,'원자료·매핑'!$C$17:$C$144,$C32,'원자료·매핑'!$N$17:$N$144,"반영",'원자료·매핑'!$O$17:$O$144,"미산정")=COUNTIFS('원자료·매핑'!$B$17:$B$144,$B32,'원자료·매핑'!$C$17:$C$144,$C32),"미산정",IF(COUNTIFS('원자료·매핑'!$B$17:$B$144,$B32,'원자료·매핑'!$C$17:$C$144,$C32,'원자료·매핑'!$N$17:$N$144,"미산정")+COUNTIFS('원자료·매핑'!$B$17:$B$144,$B32,'원자료·매핑'!$C$17:$C$144,$C32,'원자료·매핑'!$N$17:$N$144,"반영",'원자료·매핑'!$O$17:$O$144,"미산정")&gt;0,"일부 반영","반영")))</x:f>
        <x:v>반영</x:v>
      </x:c>
      <x:c r="M32" s="6" t="str">
        <x:v>105동 철근배근 진행. 기성률만큼 작업장 불출하고 잔여 철근은 야적 상태로 가정.</x:v>
      </x:c>
      <x:c r="N32" s="78" t="n">
        <x:f>MAX(0,MIN(1,('원자료·매핑'!$B$15-D32+1)/(E32-D32+1)))</x:f>
        <x:v>0.6</x:v>
      </x:c>
      <x:c r="O32" s="58" t="str">
        <x:f>IF(N32=0,"착수 전",IF(N32=1,"완료(가정)","진행 중(가정)"))</x:f>
        <x:v>진행 중(가정)</x:v>
      </x:c>
      <x:c r="P32" s="74" t="n">
        <x:f>MAX(0,E32-MAX(D32-1,'원자료·매핑'!$B$15))</x:f>
        <x:v>2</x:v>
      </x:c>
    </x:row>
    <x:row r="33" ht="58" customHeight="1">
      <x:c r="A33" s="24" t="n">
        <x:v>27</x:v>
      </x:c>
      <x:c r="B33" s="24" t="str">
        <x:v>105동</x:v>
      </x:c>
      <x:c r="C33" s="13" t="str">
        <x:v>수직부 거푸집 설치</x:v>
      </x:c>
      <x:c r="D33" s="26" t="n">
        <x:v>13</x:v>
      </x:c>
      <x:c r="E33" s="26" t="n">
        <x:v>19</x:v>
      </x:c>
      <x:c r="F33" s="42" t="n">
        <x:f>E33-D33+1</x:f>
        <x:v>7</x:v>
      </x:c>
      <x:c r="G33" s="29" t="str">
        <x:f>IF(COUNTIFS('원자료·매핑'!$B$17:$B$144,$B33,'원자료·매핑'!$C$17:$C$144,$C33,'원자료·매핑'!$L$17:$L$144,"철근")=0,"—",IF(COUNTIFS('원자료·매핑'!$B$17:$B$144,$B33,'원자료·매핑'!$C$17:$C$144,$C33,'원자료·매핑'!$L$17:$L$144,"철근",'원자료·매핑'!$O$17:$O$144,"미산정")&gt;0,"미산정",SUMIFS('원자료·매핑'!$O$17:$O$144,'원자료·매핑'!$B$17:$B$144,$B33,'원자료·매핑'!$C$17:$C$144,$C33,'원자료·매핑'!$L$17:$L$144,"철근")))</x:f>
        <x:v>—</x:v>
      </x:c>
      <x:c r="H33" s="29" t="n">
        <x:f>IF(COUNTIFS('원자료·매핑'!$B$17:$B$144,$B33,'원자료·매핑'!$C$17:$C$144,$C33,'원자료·매핑'!$L$17:$L$144,"유로폼")=0,"—",IF(COUNTIFS('원자료·매핑'!$B$17:$B$144,$B33,'원자료·매핑'!$C$17:$C$144,$C33,'원자료·매핑'!$L$17:$L$144,"유로폼",'원자료·매핑'!$O$17:$O$144,"미산정")&gt;0,"미산정",SUMIFS('원자료·매핑'!$O$17:$O$144,'원자료·매핑'!$B$17:$B$144,$B33,'원자료·매핑'!$C$17:$C$144,$C33,'원자료·매핑'!$L$17:$L$144,"유로폼")))</x:f>
        <x:v>1624</x:v>
      </x:c>
      <x:c r="I33" s="29" t="str">
        <x:f>IF(COUNTIFS('원자료·매핑'!$B$17:$B$144,$B33,'원자료·매핑'!$C$17:$C$144,$C33,'원자료·매핑'!$L$17:$L$144,"시스템서포트",'원자료·매핑'!$M$17:$M$144,"동바리 상부자키")=0,"—",IF(COUNTIFS('원자료·매핑'!$B$17:$B$144,$B33,'원자료·매핑'!$C$17:$C$144,$C33,'원자료·매핑'!$L$17:$L$144,"시스템서포트",'원자료·매핑'!$M$17:$M$144,"동바리 상부자키",'원자료·매핑'!$O$17:$O$144,"미산정")&gt;0,"미산정",SUMIFS('원자료·매핑'!$O$17:$O$144,'원자료·매핑'!$B$17:$B$144,$B33,'원자료·매핑'!$C$17:$C$144,$C33,'원자료·매핑'!$L$17:$L$144,"시스템서포트",'원자료·매핑'!$M$17:$M$144,"동바리 상부자키")))</x:f>
        <x:v>—</x:v>
      </x:c>
      <x:c r="J33" s="29" t="str">
        <x:f>IF(COUNTIFS('원자료·매핑'!$B$17:$B$144,$B33,'원자료·매핑'!$C$17:$C$144,$C33,'원자료·매핑'!$L$17:$L$144,"시스템서포트",'원자료·매핑'!$M$17:$M$144,"동바리 하부자키")=0,"—",IF(COUNTIFS('원자료·매핑'!$B$17:$B$144,$B33,'원자료·매핑'!$C$17:$C$144,$C33,'원자료·매핑'!$L$17:$L$144,"시스템서포트",'원자료·매핑'!$M$17:$M$144,"동바리 하부자키",'원자료·매핑'!$O$17:$O$144,"미산정")&gt;0,"미산정",SUMIFS('원자료·매핑'!$O$17:$O$144,'원자료·매핑'!$B$17:$B$144,$B33,'원자료·매핑'!$C$17:$C$144,$C33,'원자료·매핑'!$L$17:$L$144,"시스템서포트",'원자료·매핑'!$M$17:$M$144,"동바리 하부자키")))</x:f>
        <x:v>—</x:v>
      </x:c>
      <x:c r="K33" s="29" t="str">
        <x:f>IF(COUNTIFS('원자료·매핑'!$B$17:$B$144,$B33,'원자료·매핑'!$C$17:$C$144,$C33,'원자료·매핑'!$L$17:$L$144,"시스템서포트",'원자료·매핑'!$M$17:$M$144,"카플링(소켓)")=0,"—",IF(COUNTIFS('원자료·매핑'!$B$17:$B$144,$B33,'원자료·매핑'!$C$17:$C$144,$C33,'원자료·매핑'!$L$17:$L$144,"시스템서포트",'원자료·매핑'!$M$17:$M$144,"카플링(소켓)",'원자료·매핑'!$O$17:$O$144,"미산정")&gt;0,"미산정",SUMIFS('원자료·매핑'!$O$17:$O$144,'원자료·매핑'!$B$17:$B$144,$B33,'원자료·매핑'!$C$17:$C$144,$C33,'원자료·매핑'!$L$17:$L$144,"시스템서포트",'원자료·매핑'!$M$17:$M$144,"카플링(소켓)")))</x:f>
        <x:v>—</x:v>
      </x:c>
      <x:c r="L33" s="24" t="str">
        <x:f>IF(COUNTIFS('원자료·매핑'!$B$17:$B$144,$B33,'원자료·매핑'!$C$17:$C$144,$C33)=0,"신규 없음",IF(COUNTIFS('원자료·매핑'!$B$17:$B$144,$B33,'원자료·매핑'!$C$17:$C$144,$C33,'원자료·매핑'!$N$17:$N$144,"미산정")+COUNTIFS('원자료·매핑'!$B$17:$B$144,$B33,'원자료·매핑'!$C$17:$C$144,$C33,'원자료·매핑'!$N$17:$N$144,"반영",'원자료·매핑'!$O$17:$O$144,"미산정")=COUNTIFS('원자료·매핑'!$B$17:$B$144,$B33,'원자료·매핑'!$C$17:$C$144,$C33),"미산정",IF(COUNTIFS('원자료·매핑'!$B$17:$B$144,$B33,'원자료·매핑'!$C$17:$C$144,$C33,'원자료·매핑'!$N$17:$N$144,"미산정")+COUNTIFS('원자료·매핑'!$B$17:$B$144,$B33,'원자료·매핑'!$C$17:$C$144,$C33,'원자료·매핑'!$N$17:$N$144,"반영",'원자료·매핑'!$O$17:$O$144,"미산정")&gt;0,"일부 반영","반영")))</x:f>
        <x:v>일부 반영</x:v>
      </x:c>
      <x:c r="M33" s="13" t="str">
        <x:v>유로폼 500×1200·600×1200·300×1200만 투입. 500×600 및 미등록 부속은 미산정.</x:v>
      </x:c>
      <x:c r="N33" s="77" t="n">
        <x:f>MAX(0,MIN(1,('원자료·매핑'!$B$15-D33+1)/(E33-D33+1)))</x:f>
        <x:v>0</x:v>
      </x:c>
      <x:c r="O33" s="62" t="str">
        <x:f>IF(N33=0,"착수 전",IF(N33=1,"완료(가정)","진행 중(가정)"))</x:f>
        <x:v>착수 전</x:v>
      </x:c>
      <x:c r="P33" s="73" t="n">
        <x:f>MAX(0,E33-MAX(D33-1,'원자료·매핑'!$B$15))</x:f>
        <x:v>7</x:v>
      </x:c>
    </x:row>
    <x:row r="34" ht="58" customHeight="1">
      <x:c r="A34" s="25" t="n">
        <x:v>28</x:v>
      </x:c>
      <x:c r="B34" s="25" t="str">
        <x:v>105동</x:v>
      </x:c>
      <x:c r="C34" s="6" t="str">
        <x:v>시스템동바리 조립</x:v>
      </x:c>
      <x:c r="D34" s="27" t="n">
        <x:v>20</x:v>
      </x:c>
      <x:c r="E34" s="27" t="n">
        <x:v>22</x:v>
      </x:c>
      <x:c r="F34" s="41" t="n">
        <x:f>E34-D34+1</x:f>
        <x:v>3</x:v>
      </x:c>
      <x:c r="G34" s="30" t="str">
        <x:f>IF(COUNTIFS('원자료·매핑'!$B$17:$B$144,$B34,'원자료·매핑'!$C$17:$C$144,$C34,'원자료·매핑'!$L$17:$L$144,"철근")=0,"—",IF(COUNTIFS('원자료·매핑'!$B$17:$B$144,$B34,'원자료·매핑'!$C$17:$C$144,$C34,'원자료·매핑'!$L$17:$L$144,"철근",'원자료·매핑'!$O$17:$O$144,"미산정")&gt;0,"미산정",SUMIFS('원자료·매핑'!$O$17:$O$144,'원자료·매핑'!$B$17:$B$144,$B34,'원자료·매핑'!$C$17:$C$144,$C34,'원자료·매핑'!$L$17:$L$144,"철근")))</x:f>
        <x:v>—</x:v>
      </x:c>
      <x:c r="H34" s="30" t="str">
        <x:f>IF(COUNTIFS('원자료·매핑'!$B$17:$B$144,$B34,'원자료·매핑'!$C$17:$C$144,$C34,'원자료·매핑'!$L$17:$L$144,"유로폼")=0,"—",IF(COUNTIFS('원자료·매핑'!$B$17:$B$144,$B34,'원자료·매핑'!$C$17:$C$144,$C34,'원자료·매핑'!$L$17:$L$144,"유로폼",'원자료·매핑'!$O$17:$O$144,"미산정")&gt;0,"미산정",SUMIFS('원자료·매핑'!$O$17:$O$144,'원자료·매핑'!$B$17:$B$144,$B34,'원자료·매핑'!$C$17:$C$144,$C34,'원자료·매핑'!$L$17:$L$144,"유로폼")))</x:f>
        <x:v>—</x:v>
      </x:c>
      <x:c r="I34" s="30" t="n">
        <x:f>IF(COUNTIFS('원자료·매핑'!$B$17:$B$144,$B34,'원자료·매핑'!$C$17:$C$144,$C34,'원자료·매핑'!$L$17:$L$144,"시스템서포트",'원자료·매핑'!$M$17:$M$144,"동바리 상부자키")=0,"—",IF(COUNTIFS('원자료·매핑'!$B$17:$B$144,$B34,'원자료·매핑'!$C$17:$C$144,$C34,'원자료·매핑'!$L$17:$L$144,"시스템서포트",'원자료·매핑'!$M$17:$M$144,"동바리 상부자키",'원자료·매핑'!$O$17:$O$144,"미산정")&gt;0,"미산정",SUMIFS('원자료·매핑'!$O$17:$O$144,'원자료·매핑'!$B$17:$B$144,$B34,'원자료·매핑'!$C$17:$C$144,$C34,'원자료·매핑'!$L$17:$L$144,"시스템서포트",'원자료·매핑'!$M$17:$M$144,"동바리 상부자키")))</x:f>
        <x:v>630</x:v>
      </x:c>
      <x:c r="J34" s="30" t="n">
        <x:f>IF(COUNTIFS('원자료·매핑'!$B$17:$B$144,$B34,'원자료·매핑'!$C$17:$C$144,$C34,'원자료·매핑'!$L$17:$L$144,"시스템서포트",'원자료·매핑'!$M$17:$M$144,"동바리 하부자키")=0,"—",IF(COUNTIFS('원자료·매핑'!$B$17:$B$144,$B34,'원자료·매핑'!$C$17:$C$144,$C34,'원자료·매핑'!$L$17:$L$144,"시스템서포트",'원자료·매핑'!$M$17:$M$144,"동바리 하부자키",'원자료·매핑'!$O$17:$O$144,"미산정")&gt;0,"미산정",SUMIFS('원자료·매핑'!$O$17:$O$144,'원자료·매핑'!$B$17:$B$144,$B34,'원자료·매핑'!$C$17:$C$144,$C34,'원자료·매핑'!$L$17:$L$144,"시스템서포트",'원자료·매핑'!$M$17:$M$144,"동바리 하부자키")))</x:f>
        <x:v>630</x:v>
      </x:c>
      <x:c r="K34" s="30" t="n">
        <x:f>IF(COUNTIFS('원자료·매핑'!$B$17:$B$144,$B34,'원자료·매핑'!$C$17:$C$144,$C34,'원자료·매핑'!$L$17:$L$144,"시스템서포트",'원자료·매핑'!$M$17:$M$144,"카플링(소켓)")=0,"—",IF(COUNTIFS('원자료·매핑'!$B$17:$B$144,$B34,'원자료·매핑'!$C$17:$C$144,$C34,'원자료·매핑'!$L$17:$L$144,"시스템서포트",'원자료·매핑'!$M$17:$M$144,"카플링(소켓)",'원자료·매핑'!$O$17:$O$144,"미산정")&gt;0,"미산정",SUMIFS('원자료·매핑'!$O$17:$O$144,'원자료·매핑'!$B$17:$B$144,$B34,'원자료·매핑'!$C$17:$C$144,$C34,'원자료·매핑'!$L$17:$L$144,"시스템서포트",'원자료·매핑'!$M$17:$M$144,"카플링(소켓)")))</x:f>
        <x:v>1260</x:v>
      </x:c>
      <x:c r="L34" s="25" t="str">
        <x:f>IF(COUNTIFS('원자료·매핑'!$B$17:$B$144,$B34,'원자료·매핑'!$C$17:$C$144,$C34)=0,"신규 없음",IF(COUNTIFS('원자료·매핑'!$B$17:$B$144,$B34,'원자료·매핑'!$C$17:$C$144,$C34,'원자료·매핑'!$N$17:$N$144,"미산정")+COUNTIFS('원자료·매핑'!$B$17:$B$144,$B34,'원자료·매핑'!$C$17:$C$144,$C34,'원자료·매핑'!$N$17:$N$144,"반영",'원자료·매핑'!$O$17:$O$144,"미산정")=COUNTIFS('원자료·매핑'!$B$17:$B$144,$B34,'원자료·매핑'!$C$17:$C$144,$C34),"미산정",IF(COUNTIFS('원자료·매핑'!$B$17:$B$144,$B34,'원자료·매핑'!$C$17:$C$144,$C34,'원자료·매핑'!$N$17:$N$144,"미산정")+COUNTIFS('원자료·매핑'!$B$17:$B$144,$B34,'원자료·매핑'!$C$17:$C$144,$C34,'원자료·매핑'!$N$17:$N$144,"반영",'원자료·매핑'!$O$17:$O$144,"미산정")&gt;0,"일부 반영","반영")))</x:f>
        <x:v>일부 반영</x:v>
      </x:c>
      <x:c r="M34" s="6" t="str">
        <x:v>상부자키·하부자키·카플링만 산정. 수직·수평·대각재는 등록 규격과 동일성 미확인으로 미산정.</x:v>
      </x:c>
      <x:c r="N34" s="78" t="n">
        <x:f>MAX(0,MIN(1,('원자료·매핑'!$B$15-D34+1)/(E34-D34+1)))</x:f>
        <x:v>0</x:v>
      </x:c>
      <x:c r="O34" s="58" t="str">
        <x:f>IF(N34=0,"착수 전",IF(N34=1,"완료(가정)","진행 중(가정)"))</x:f>
        <x:v>착수 전</x:v>
      </x:c>
      <x:c r="P34" s="74" t="n">
        <x:f>MAX(0,E34-MAX(D34-1,'원자료·매핑'!$B$15))</x:f>
        <x:v>3</x:v>
      </x:c>
    </x:row>
    <x:row r="35" ht="58" customHeight="1">
      <x:c r="A35" s="24" t="n">
        <x:v>29</x:v>
      </x:c>
      <x:c r="B35" s="24" t="str">
        <x:v>105동</x:v>
      </x:c>
      <x:c r="C35" s="13" t="str">
        <x:v>보·슬래브 거푸집</x:v>
      </x:c>
      <x:c r="D35" s="26" t="n">
        <x:v>23</x:v>
      </x:c>
      <x:c r="E35" s="26" t="n">
        <x:v>26</x:v>
      </x:c>
      <x:c r="F35" s="42" t="n">
        <x:f>E35-D35+1</x:f>
        <x:v>4</x:v>
      </x:c>
      <x:c r="G35" s="29" t="str">
        <x:f>IF(COUNTIFS('원자료·매핑'!$B$17:$B$144,$B35,'원자료·매핑'!$C$17:$C$144,$C35,'원자료·매핑'!$L$17:$L$144,"철근")=0,"—",IF(COUNTIFS('원자료·매핑'!$B$17:$B$144,$B35,'원자료·매핑'!$C$17:$C$144,$C35,'원자료·매핑'!$L$17:$L$144,"철근",'원자료·매핑'!$O$17:$O$144,"미산정")&gt;0,"미산정",SUMIFS('원자료·매핑'!$O$17:$O$144,'원자료·매핑'!$B$17:$B$144,$B35,'원자료·매핑'!$C$17:$C$144,$C35,'원자료·매핑'!$L$17:$L$144,"철근")))</x:f>
        <x:v>—</x:v>
      </x:c>
      <x:c r="H35" s="29" t="str">
        <x:f>IF(COUNTIFS('원자료·매핑'!$B$17:$B$144,$B35,'원자료·매핑'!$C$17:$C$144,$C35,'원자료·매핑'!$L$17:$L$144,"유로폼")=0,"—",IF(COUNTIFS('원자료·매핑'!$B$17:$B$144,$B35,'원자료·매핑'!$C$17:$C$144,$C35,'원자료·매핑'!$L$17:$L$144,"유로폼",'원자료·매핑'!$O$17:$O$144,"미산정")&gt;0,"미산정",SUMIFS('원자료·매핑'!$O$17:$O$144,'원자료·매핑'!$B$17:$B$144,$B35,'원자료·매핑'!$C$17:$C$144,$C35,'원자료·매핑'!$L$17:$L$144,"유로폼")))</x:f>
        <x:v>—</x:v>
      </x:c>
      <x:c r="I35" s="29" t="str">
        <x:f>IF(COUNTIFS('원자료·매핑'!$B$17:$B$144,$B35,'원자료·매핑'!$C$17:$C$144,$C35,'원자료·매핑'!$L$17:$L$144,"시스템서포트",'원자료·매핑'!$M$17:$M$144,"동바리 상부자키")=0,"—",IF(COUNTIFS('원자료·매핑'!$B$17:$B$144,$B35,'원자료·매핑'!$C$17:$C$144,$C35,'원자료·매핑'!$L$17:$L$144,"시스템서포트",'원자료·매핑'!$M$17:$M$144,"동바리 상부자키",'원자료·매핑'!$O$17:$O$144,"미산정")&gt;0,"미산정",SUMIFS('원자료·매핑'!$O$17:$O$144,'원자료·매핑'!$B$17:$B$144,$B35,'원자료·매핑'!$C$17:$C$144,$C35,'원자료·매핑'!$L$17:$L$144,"시스템서포트",'원자료·매핑'!$M$17:$M$144,"동바리 상부자키")))</x:f>
        <x:v>—</x:v>
      </x:c>
      <x:c r="J35" s="29" t="str">
        <x:f>IF(COUNTIFS('원자료·매핑'!$B$17:$B$144,$B35,'원자료·매핑'!$C$17:$C$144,$C35,'원자료·매핑'!$L$17:$L$144,"시스템서포트",'원자료·매핑'!$M$17:$M$144,"동바리 하부자키")=0,"—",IF(COUNTIFS('원자료·매핑'!$B$17:$B$144,$B35,'원자료·매핑'!$C$17:$C$144,$C35,'원자료·매핑'!$L$17:$L$144,"시스템서포트",'원자료·매핑'!$M$17:$M$144,"동바리 하부자키",'원자료·매핑'!$O$17:$O$144,"미산정")&gt;0,"미산정",SUMIFS('원자료·매핑'!$O$17:$O$144,'원자료·매핑'!$B$17:$B$144,$B35,'원자료·매핑'!$C$17:$C$144,$C35,'원자료·매핑'!$L$17:$L$144,"시스템서포트",'원자료·매핑'!$M$17:$M$144,"동바리 하부자키")))</x:f>
        <x:v>—</x:v>
      </x:c>
      <x:c r="K35" s="29" t="str">
        <x:f>IF(COUNTIFS('원자료·매핑'!$B$17:$B$144,$B35,'원자료·매핑'!$C$17:$C$144,$C35,'원자료·매핑'!$L$17:$L$144,"시스템서포트",'원자료·매핑'!$M$17:$M$144,"카플링(소켓)")=0,"—",IF(COUNTIFS('원자료·매핑'!$B$17:$B$144,$B35,'원자료·매핑'!$C$17:$C$144,$C35,'원자료·매핑'!$L$17:$L$144,"시스템서포트",'원자료·매핑'!$M$17:$M$144,"카플링(소켓)",'원자료·매핑'!$O$17:$O$144,"미산정")&gt;0,"미산정",SUMIFS('원자료·매핑'!$O$17:$O$144,'원자료·매핑'!$B$17:$B$144,$B35,'원자료·매핑'!$C$17:$C$144,$C35,'원자료·매핑'!$L$17:$L$144,"시스템서포트",'원자료·매핑'!$M$17:$M$144,"카플링(소켓)")))</x:f>
        <x:v>—</x:v>
      </x:c>
      <x:c r="L35" s="24" t="str">
        <x:f>IF(COUNTIFS('원자료·매핑'!$B$17:$B$144,$B35,'원자료·매핑'!$C$17:$C$144,$C35)=0,"신규 없음",IF(COUNTIFS('원자료·매핑'!$B$17:$B$144,$B35,'원자료·매핑'!$C$17:$C$144,$C35,'원자료·매핑'!$N$17:$N$144,"미산정")+COUNTIFS('원자료·매핑'!$B$17:$B$144,$B35,'원자료·매핑'!$C$17:$C$144,$C35,'원자료·매핑'!$N$17:$N$144,"반영",'원자료·매핑'!$O$17:$O$144,"미산정")=COUNTIFS('원자료·매핑'!$B$17:$B$144,$B35,'원자료·매핑'!$C$17:$C$144,$C35),"미산정",IF(COUNTIFS('원자료·매핑'!$B$17:$B$144,$B35,'원자료·매핑'!$C$17:$C$144,$C35,'원자료·매핑'!$N$17:$N$144,"미산정")+COUNTIFS('원자료·매핑'!$B$17:$B$144,$B35,'원자료·매핑'!$C$17:$C$144,$C35,'원자료·매핑'!$N$17:$N$144,"반영",'원자료·매핑'!$O$17:$O$144,"미산정")&gt;0,"일부 반영","반영")))</x:f>
        <x:v>미산정</x:v>
      </x:c>
      <x:c r="M35" s="13" t="str">
        <x:v>일치하는 등록 자재 물량 없음: 미산정. 합판·장선·멍에를 다른 품목으로 대체하지 않음.</x:v>
      </x:c>
      <x:c r="N35" s="77" t="n">
        <x:f>MAX(0,MIN(1,('원자료·매핑'!$B$15-D35+1)/(E35-D35+1)))</x:f>
        <x:v>0</x:v>
      </x:c>
      <x:c r="O35" s="62" t="str">
        <x:f>IF(N35=0,"착수 전",IF(N35=1,"완료(가정)","진행 중(가정)"))</x:f>
        <x:v>착수 전</x:v>
      </x:c>
      <x:c r="P35" s="73" t="n">
        <x:f>MAX(0,E35-MAX(D35-1,'원자료·매핑'!$B$15))</x:f>
        <x:v>4</x:v>
      </x:c>
    </x:row>
    <x:row r="36" ht="58" customHeight="1">
      <x:c r="A36" s="25" t="n">
        <x:v>30</x:v>
      </x:c>
      <x:c r="B36" s="25" t="str">
        <x:v>105동</x:v>
      </x:c>
      <x:c r="C36" s="6" t="str">
        <x:v>보·슬래브 철근배근</x:v>
      </x:c>
      <x:c r="D36" s="27" t="n">
        <x:v>27</x:v>
      </x:c>
      <x:c r="E36" s="27" t="n">
        <x:v>29</x:v>
      </x:c>
      <x:c r="F36" s="41" t="n">
        <x:f>E36-D36+1</x:f>
        <x:v>3</x:v>
      </x:c>
      <x:c r="G36" s="30" t="n">
        <x:f>IF(COUNTIFS('원자료·매핑'!$B$17:$B$144,$B36,'원자료·매핑'!$C$17:$C$144,$C36,'원자료·매핑'!$L$17:$L$144,"철근")=0,"—",IF(COUNTIFS('원자료·매핑'!$B$17:$B$144,$B36,'원자료·매핑'!$C$17:$C$144,$C36,'원자료·매핑'!$L$17:$L$144,"철근",'원자료·매핑'!$O$17:$O$144,"미산정")&gt;0,"미산정",SUMIFS('원자료·매핑'!$O$17:$O$144,'원자료·매핑'!$B$17:$B$144,$B36,'원자료·매핑'!$C$17:$C$144,$C36,'원자료·매핑'!$L$17:$L$144,"철근")))</x:f>
        <x:v>32450</x:v>
      </x:c>
      <x:c r="H36" s="30" t="str">
        <x:f>IF(COUNTIFS('원자료·매핑'!$B$17:$B$144,$B36,'원자료·매핑'!$C$17:$C$144,$C36,'원자료·매핑'!$L$17:$L$144,"유로폼")=0,"—",IF(COUNTIFS('원자료·매핑'!$B$17:$B$144,$B36,'원자료·매핑'!$C$17:$C$144,$C36,'원자료·매핑'!$L$17:$L$144,"유로폼",'원자료·매핑'!$O$17:$O$144,"미산정")&gt;0,"미산정",SUMIFS('원자료·매핑'!$O$17:$O$144,'원자료·매핑'!$B$17:$B$144,$B36,'원자료·매핑'!$C$17:$C$144,$C36,'원자료·매핑'!$L$17:$L$144,"유로폼")))</x:f>
        <x:v>—</x:v>
      </x:c>
      <x:c r="I36" s="30" t="str">
        <x:f>IF(COUNTIFS('원자료·매핑'!$B$17:$B$144,$B36,'원자료·매핑'!$C$17:$C$144,$C36,'원자료·매핑'!$L$17:$L$144,"시스템서포트",'원자료·매핑'!$M$17:$M$144,"동바리 상부자키")=0,"—",IF(COUNTIFS('원자료·매핑'!$B$17:$B$144,$B36,'원자료·매핑'!$C$17:$C$144,$C36,'원자료·매핑'!$L$17:$L$144,"시스템서포트",'원자료·매핑'!$M$17:$M$144,"동바리 상부자키",'원자료·매핑'!$O$17:$O$144,"미산정")&gt;0,"미산정",SUMIFS('원자료·매핑'!$O$17:$O$144,'원자료·매핑'!$B$17:$B$144,$B36,'원자료·매핑'!$C$17:$C$144,$C36,'원자료·매핑'!$L$17:$L$144,"시스템서포트",'원자료·매핑'!$M$17:$M$144,"동바리 상부자키")))</x:f>
        <x:v>—</x:v>
      </x:c>
      <x:c r="J36" s="30" t="str">
        <x:f>IF(COUNTIFS('원자료·매핑'!$B$17:$B$144,$B36,'원자료·매핑'!$C$17:$C$144,$C36,'원자료·매핑'!$L$17:$L$144,"시스템서포트",'원자료·매핑'!$M$17:$M$144,"동바리 하부자키")=0,"—",IF(COUNTIFS('원자료·매핑'!$B$17:$B$144,$B36,'원자료·매핑'!$C$17:$C$144,$C36,'원자료·매핑'!$L$17:$L$144,"시스템서포트",'원자료·매핑'!$M$17:$M$144,"동바리 하부자키",'원자료·매핑'!$O$17:$O$144,"미산정")&gt;0,"미산정",SUMIFS('원자료·매핑'!$O$17:$O$144,'원자료·매핑'!$B$17:$B$144,$B36,'원자료·매핑'!$C$17:$C$144,$C36,'원자료·매핑'!$L$17:$L$144,"시스템서포트",'원자료·매핑'!$M$17:$M$144,"동바리 하부자키")))</x:f>
        <x:v>—</x:v>
      </x:c>
      <x:c r="K36" s="30" t="str">
        <x:f>IF(COUNTIFS('원자료·매핑'!$B$17:$B$144,$B36,'원자료·매핑'!$C$17:$C$144,$C36,'원자료·매핑'!$L$17:$L$144,"시스템서포트",'원자료·매핑'!$M$17:$M$144,"카플링(소켓)")=0,"—",IF(COUNTIFS('원자료·매핑'!$B$17:$B$144,$B36,'원자료·매핑'!$C$17:$C$144,$C36,'원자료·매핑'!$L$17:$L$144,"시스템서포트",'원자료·매핑'!$M$17:$M$144,"카플링(소켓)",'원자료·매핑'!$O$17:$O$144,"미산정")&gt;0,"미산정",SUMIFS('원자료·매핑'!$O$17:$O$144,'원자료·매핑'!$B$17:$B$144,$B36,'원자료·매핑'!$C$17:$C$144,$C36,'원자료·매핑'!$L$17:$L$144,"시스템서포트",'원자료·매핑'!$M$17:$M$144,"카플링(소켓)")))</x:f>
        <x:v>—</x:v>
      </x:c>
      <x:c r="L36" s="25" t="str">
        <x:f>IF(COUNTIFS('원자료·매핑'!$B$17:$B$144,$B36,'원자료·매핑'!$C$17:$C$144,$C36)=0,"신규 없음",IF(COUNTIFS('원자료·매핑'!$B$17:$B$144,$B36,'원자료·매핑'!$C$17:$C$144,$C36,'원자료·매핑'!$N$17:$N$144,"미산정")+COUNTIFS('원자료·매핑'!$B$17:$B$144,$B36,'원자료·매핑'!$C$17:$C$144,$C36,'원자료·매핑'!$N$17:$N$144,"반영",'원자료·매핑'!$O$17:$O$144,"미산정")=COUNTIFS('원자료·매핑'!$B$17:$B$144,$B36,'원자료·매핑'!$C$17:$C$144,$C36),"미산정",IF(COUNTIFS('원자료·매핑'!$B$17:$B$144,$B36,'원자료·매핑'!$C$17:$C$144,$C36,'원자료·매핑'!$N$17:$N$144,"미산정")+COUNTIFS('원자료·매핑'!$B$17:$B$144,$B36,'원자료·매핑'!$C$17:$C$144,$C36,'원자료·매핑'!$N$17:$N$144,"반영",'원자료·매핑'!$O$17:$O$144,"미산정")&gt;0,"일부 반영","반영")))</x:f>
        <x:v>반영</x:v>
      </x:c>
      <x:c r="M36" s="6" t="str">
        <x:v>SD500 D10·D13·D16·D19·D22·D25 투입. 길이 미제공, kg 기준 관리.</x:v>
      </x:c>
      <x:c r="N36" s="78" t="n">
        <x:f>MAX(0,MIN(1,('원자료·매핑'!$B$15-D36+1)/(E36-D36+1)))</x:f>
        <x:v>0</x:v>
      </x:c>
      <x:c r="O36" s="58" t="str">
        <x:f>IF(N36=0,"착수 전",IF(N36=1,"완료(가정)","진행 중(가정)"))</x:f>
        <x:v>착수 전</x:v>
      </x:c>
      <x:c r="P36" s="74" t="n">
        <x:f>MAX(0,E36-MAX(D36-1,'원자료·매핑'!$B$15))</x:f>
        <x:v>3</x:v>
      </x:c>
    </x:row>
    <x:row r="37" ht="58" customHeight="1">
      <x:c r="A37" s="24" t="n">
        <x:v>31</x:v>
      </x:c>
      <x:c r="B37" s="24" t="str">
        <x:v>105동</x:v>
      </x:c>
      <x:c r="C37" s="13" t="str">
        <x:v>검측·콘크리트 타설</x:v>
      </x:c>
      <x:c r="D37" s="26" t="n">
        <x:v>30</x:v>
      </x:c>
      <x:c r="E37" s="26" t="n">
        <x:v>30</x:v>
      </x:c>
      <x:c r="F37" s="42" t="n">
        <x:f>E37-D37+1</x:f>
        <x:v>1</x:v>
      </x:c>
      <x:c r="G37" s="29" t="str">
        <x:f>IF(COUNTIFS('원자료·매핑'!$B$17:$B$144,$B37,'원자료·매핑'!$C$17:$C$144,$C37,'원자료·매핑'!$L$17:$L$144,"철근")=0,"—",IF(COUNTIFS('원자료·매핑'!$B$17:$B$144,$B37,'원자료·매핑'!$C$17:$C$144,$C37,'원자료·매핑'!$L$17:$L$144,"철근",'원자료·매핑'!$O$17:$O$144,"미산정")&gt;0,"미산정",SUMIFS('원자료·매핑'!$O$17:$O$144,'원자료·매핑'!$B$17:$B$144,$B37,'원자료·매핑'!$C$17:$C$144,$C37,'원자료·매핑'!$L$17:$L$144,"철근")))</x:f>
        <x:v>—</x:v>
      </x:c>
      <x:c r="H37" s="29" t="str">
        <x:f>IF(COUNTIFS('원자료·매핑'!$B$17:$B$144,$B37,'원자료·매핑'!$C$17:$C$144,$C37,'원자료·매핑'!$L$17:$L$144,"유로폼")=0,"—",IF(COUNTIFS('원자료·매핑'!$B$17:$B$144,$B37,'원자료·매핑'!$C$17:$C$144,$C37,'원자료·매핑'!$L$17:$L$144,"유로폼",'원자료·매핑'!$O$17:$O$144,"미산정")&gt;0,"미산정",SUMIFS('원자료·매핑'!$O$17:$O$144,'원자료·매핑'!$B$17:$B$144,$B37,'원자료·매핑'!$C$17:$C$144,$C37,'원자료·매핑'!$L$17:$L$144,"유로폼")))</x:f>
        <x:v>—</x:v>
      </x:c>
      <x:c r="I37" s="29" t="str">
        <x:f>IF(COUNTIFS('원자료·매핑'!$B$17:$B$144,$B37,'원자료·매핑'!$C$17:$C$144,$C37,'원자료·매핑'!$L$17:$L$144,"시스템서포트",'원자료·매핑'!$M$17:$M$144,"동바리 상부자키")=0,"—",IF(COUNTIFS('원자료·매핑'!$B$17:$B$144,$B37,'원자료·매핑'!$C$17:$C$144,$C37,'원자료·매핑'!$L$17:$L$144,"시스템서포트",'원자료·매핑'!$M$17:$M$144,"동바리 상부자키",'원자료·매핑'!$O$17:$O$144,"미산정")&gt;0,"미산정",SUMIFS('원자료·매핑'!$O$17:$O$144,'원자료·매핑'!$B$17:$B$144,$B37,'원자료·매핑'!$C$17:$C$144,$C37,'원자료·매핑'!$L$17:$L$144,"시스템서포트",'원자료·매핑'!$M$17:$M$144,"동바리 상부자키")))</x:f>
        <x:v>—</x:v>
      </x:c>
      <x:c r="J37" s="29" t="str">
        <x:f>IF(COUNTIFS('원자료·매핑'!$B$17:$B$144,$B37,'원자료·매핑'!$C$17:$C$144,$C37,'원자료·매핑'!$L$17:$L$144,"시스템서포트",'원자료·매핑'!$M$17:$M$144,"동바리 하부자키")=0,"—",IF(COUNTIFS('원자료·매핑'!$B$17:$B$144,$B37,'원자료·매핑'!$C$17:$C$144,$C37,'원자료·매핑'!$L$17:$L$144,"시스템서포트",'원자료·매핑'!$M$17:$M$144,"동바리 하부자키",'원자료·매핑'!$O$17:$O$144,"미산정")&gt;0,"미산정",SUMIFS('원자료·매핑'!$O$17:$O$144,'원자료·매핑'!$B$17:$B$144,$B37,'원자료·매핑'!$C$17:$C$144,$C37,'원자료·매핑'!$L$17:$L$144,"시스템서포트",'원자료·매핑'!$M$17:$M$144,"동바리 하부자키")))</x:f>
        <x:v>—</x:v>
      </x:c>
      <x:c r="K37" s="29" t="str">
        <x:f>IF(COUNTIFS('원자료·매핑'!$B$17:$B$144,$B37,'원자료·매핑'!$C$17:$C$144,$C37,'원자료·매핑'!$L$17:$L$144,"시스템서포트",'원자료·매핑'!$M$17:$M$144,"카플링(소켓)")=0,"—",IF(COUNTIFS('원자료·매핑'!$B$17:$B$144,$B37,'원자료·매핑'!$C$17:$C$144,$C37,'원자료·매핑'!$L$17:$L$144,"시스템서포트",'원자료·매핑'!$M$17:$M$144,"카플링(소켓)",'원자료·매핑'!$O$17:$O$144,"미산정")&gt;0,"미산정",SUMIFS('원자료·매핑'!$O$17:$O$144,'원자료·매핑'!$B$17:$B$144,$B37,'원자료·매핑'!$C$17:$C$144,$C37,'원자료·매핑'!$L$17:$L$144,"시스템서포트",'원자료·매핑'!$M$17:$M$144,"카플링(소켓)")))</x:f>
        <x:v>—</x:v>
      </x:c>
      <x:c r="L37" s="24" t="str">
        <x:f>IF(COUNTIFS('원자료·매핑'!$B$17:$B$144,$B37,'원자료·매핑'!$C$17:$C$144,$C37)=0,"신규 없음",IF(COUNTIFS('원자료·매핑'!$B$17:$B$144,$B37,'원자료·매핑'!$C$17:$C$144,$C37,'원자료·매핑'!$N$17:$N$144,"미산정")+COUNTIFS('원자료·매핑'!$B$17:$B$144,$B37,'원자료·매핑'!$C$17:$C$144,$C37,'원자료·매핑'!$N$17:$N$144,"반영",'원자료·매핑'!$O$17:$O$144,"미산정")=COUNTIFS('원자료·매핑'!$B$17:$B$144,$B37,'원자료·매핑'!$C$17:$C$144,$C37),"미산정",IF(COUNTIFS('원자료·매핑'!$B$17:$B$144,$B37,'원자료·매핑'!$C$17:$C$144,$C37,'원자료·매핑'!$N$17:$N$144,"미산정")+COUNTIFS('원자료·매핑'!$B$17:$B$144,$B37,'원자료·매핑'!$C$17:$C$144,$C37,'원자료·매핑'!$N$17:$N$144,"반영",'원자료·매핑'!$O$17:$O$144,"미산정")&gt;0,"일부 반영","반영")))</x:f>
        <x:v>신규 없음</x:v>
      </x:c>
      <x:c r="M37" s="13" t="str">
        <x:v>기투입 철근·거푸집·동바리 사용 중. 등록 자재 신규 투입 계획 없음.</x:v>
      </x:c>
      <x:c r="N37" s="77" t="n">
        <x:f>MAX(0,MIN(1,('원자료·매핑'!$B$15-D37+1)/(E37-D37+1)))</x:f>
        <x:v>0</x:v>
      </x:c>
      <x:c r="O37" s="62" t="str">
        <x:f>IF(N37=0,"착수 전",IF(N37=1,"완료(가정)","진행 중(가정)"))</x:f>
        <x:v>착수 전</x:v>
      </x:c>
      <x:c r="P37" s="73" t="n">
        <x:f>MAX(0,E37-MAX(D37-1,'원자료·매핑'!$B$15))</x:f>
        <x:v>1</x:v>
      </x:c>
    </x:row>
    <x:row r="38" ht="58" customHeight="1">
      <x:c r="A38" s="25" t="n">
        <x:v>32</x:v>
      </x:c>
      <x:c r="B38" s="25" t="str">
        <x:v>105동</x:v>
      </x:c>
      <x:c r="C38" s="6" t="str">
        <x:v>계획 여유</x:v>
      </x:c>
      <x:c r="D38" s="27" t="n">
        <x:v>31</x:v>
      </x:c>
      <x:c r="E38" s="27" t="n">
        <x:v>35</x:v>
      </x:c>
      <x:c r="F38" s="41" t="n">
        <x:f>E38-D38+1</x:f>
        <x:v>5</x:v>
      </x:c>
      <x:c r="G38" s="30" t="str">
        <x:f>IF(COUNTIFS('원자료·매핑'!$B$17:$B$144,$B38,'원자료·매핑'!$C$17:$C$144,$C38,'원자료·매핑'!$L$17:$L$144,"철근")=0,"—",IF(COUNTIFS('원자료·매핑'!$B$17:$B$144,$B38,'원자료·매핑'!$C$17:$C$144,$C38,'원자료·매핑'!$L$17:$L$144,"철근",'원자료·매핑'!$O$17:$O$144,"미산정")&gt;0,"미산정",SUMIFS('원자료·매핑'!$O$17:$O$144,'원자료·매핑'!$B$17:$B$144,$B38,'원자료·매핑'!$C$17:$C$144,$C38,'원자료·매핑'!$L$17:$L$144,"철근")))</x:f>
        <x:v>—</x:v>
      </x:c>
      <x:c r="H38" s="30" t="str">
        <x:f>IF(COUNTIFS('원자료·매핑'!$B$17:$B$144,$B38,'원자료·매핑'!$C$17:$C$144,$C38,'원자료·매핑'!$L$17:$L$144,"유로폼")=0,"—",IF(COUNTIFS('원자료·매핑'!$B$17:$B$144,$B38,'원자료·매핑'!$C$17:$C$144,$C38,'원자료·매핑'!$L$17:$L$144,"유로폼",'원자료·매핑'!$O$17:$O$144,"미산정")&gt;0,"미산정",SUMIFS('원자료·매핑'!$O$17:$O$144,'원자료·매핑'!$B$17:$B$144,$B38,'원자료·매핑'!$C$17:$C$144,$C38,'원자료·매핑'!$L$17:$L$144,"유로폼")))</x:f>
        <x:v>—</x:v>
      </x:c>
      <x:c r="I38" s="30" t="str">
        <x:f>IF(COUNTIFS('원자료·매핑'!$B$17:$B$144,$B38,'원자료·매핑'!$C$17:$C$144,$C38,'원자료·매핑'!$L$17:$L$144,"시스템서포트",'원자료·매핑'!$M$17:$M$144,"동바리 상부자키")=0,"—",IF(COUNTIFS('원자료·매핑'!$B$17:$B$144,$B38,'원자료·매핑'!$C$17:$C$144,$C38,'원자료·매핑'!$L$17:$L$144,"시스템서포트",'원자료·매핑'!$M$17:$M$144,"동바리 상부자키",'원자료·매핑'!$O$17:$O$144,"미산정")&gt;0,"미산정",SUMIFS('원자료·매핑'!$O$17:$O$144,'원자료·매핑'!$B$17:$B$144,$B38,'원자료·매핑'!$C$17:$C$144,$C38,'원자료·매핑'!$L$17:$L$144,"시스템서포트",'원자료·매핑'!$M$17:$M$144,"동바리 상부자키")))</x:f>
        <x:v>—</x:v>
      </x:c>
      <x:c r="J38" s="30" t="str">
        <x:f>IF(COUNTIFS('원자료·매핑'!$B$17:$B$144,$B38,'원자료·매핑'!$C$17:$C$144,$C38,'원자료·매핑'!$L$17:$L$144,"시스템서포트",'원자료·매핑'!$M$17:$M$144,"동바리 하부자키")=0,"—",IF(COUNTIFS('원자료·매핑'!$B$17:$B$144,$B38,'원자료·매핑'!$C$17:$C$144,$C38,'원자료·매핑'!$L$17:$L$144,"시스템서포트",'원자료·매핑'!$M$17:$M$144,"동바리 하부자키",'원자료·매핑'!$O$17:$O$144,"미산정")&gt;0,"미산정",SUMIFS('원자료·매핑'!$O$17:$O$144,'원자료·매핑'!$B$17:$B$144,$B38,'원자료·매핑'!$C$17:$C$144,$C38,'원자료·매핑'!$L$17:$L$144,"시스템서포트",'원자료·매핑'!$M$17:$M$144,"동바리 하부자키")))</x:f>
        <x:v>—</x:v>
      </x:c>
      <x:c r="K38" s="30" t="str">
        <x:f>IF(COUNTIFS('원자료·매핑'!$B$17:$B$144,$B38,'원자료·매핑'!$C$17:$C$144,$C38,'원자료·매핑'!$L$17:$L$144,"시스템서포트",'원자료·매핑'!$M$17:$M$144,"카플링(소켓)")=0,"—",IF(COUNTIFS('원자료·매핑'!$B$17:$B$144,$B38,'원자료·매핑'!$C$17:$C$144,$C38,'원자료·매핑'!$L$17:$L$144,"시스템서포트",'원자료·매핑'!$M$17:$M$144,"카플링(소켓)",'원자료·매핑'!$O$17:$O$144,"미산정")&gt;0,"미산정",SUMIFS('원자료·매핑'!$O$17:$O$144,'원자료·매핑'!$B$17:$B$144,$B38,'원자료·매핑'!$C$17:$C$144,$C38,'원자료·매핑'!$L$17:$L$144,"시스템서포트",'원자료·매핑'!$M$17:$M$144,"카플링(소켓)")))</x:f>
        <x:v>—</x:v>
      </x:c>
      <x:c r="L38" s="25" t="str">
        <x:f>IF(COUNTIFS('원자료·매핑'!$B$17:$B$144,$B38,'원자료·매핑'!$C$17:$C$144,$C38)=0,"신규 없음",IF(COUNTIFS('원자료·매핑'!$B$17:$B$144,$B38,'원자료·매핑'!$C$17:$C$144,$C38,'원자료·매핑'!$N$17:$N$144,"미산정")+COUNTIFS('원자료·매핑'!$B$17:$B$144,$B38,'원자료·매핑'!$C$17:$C$144,$C38,'원자료·매핑'!$N$17:$N$144,"반영",'원자료·매핑'!$O$17:$O$144,"미산정")=COUNTIFS('원자료·매핑'!$B$17:$B$144,$B38,'원자료·매핑'!$C$17:$C$144,$C38),"미산정",IF(COUNTIFS('원자료·매핑'!$B$17:$B$144,$B38,'원자료·매핑'!$C$17:$C$144,$C38,'원자료·매핑'!$N$17:$N$144,"미산정")+COUNTIFS('원자료·매핑'!$B$17:$B$144,$B38,'원자료·매핑'!$C$17:$C$144,$C38,'원자료·매핑'!$N$17:$N$144,"반영",'원자료·매핑'!$O$17:$O$144,"미산정")&gt;0,"일부 반영","반영")))</x:f>
        <x:v>신규 없음</x:v>
      </x:c>
      <x:c r="M38" s="6" t="str">
        <x:v>원자료의 계획 여유 5 WD. 해체·회수 승인일을 의미하지 않음.</x:v>
      </x:c>
      <x:c r="N38" s="78" t="n">
        <x:f>MAX(0,MIN(1,('원자료·매핑'!$B$15-D38+1)/(E38-D38+1)))</x:f>
        <x:v>0</x:v>
      </x:c>
      <x:c r="O38" s="58" t="str">
        <x:f>IF(N38=0,"착수 전",IF(N38=1,"완료(가정)","진행 중(가정)"))</x:f>
        <x:v>착수 전</x:v>
      </x:c>
      <x:c r="P38" s="74" t="n">
        <x:f>MAX(0,E38-MAX(D38-1,'원자료·매핑'!$B$15))</x:f>
        <x:v>5</x:v>
      </x:c>
    </x:row>
    <x:row r="39" ht="34" customHeight="1">
      <x:c r="A39" s="48"/>
      <x:c r="B39" s="48"/>
      <x:c r="C39" s="48" t="str">
        <x:v>등록 규격 반영 합계</x:v>
      </x:c>
      <x:c r="D39" s="48"/>
      <x:c r="E39" s="48"/>
      <x:c r="F39" s="49"/>
      <x:c r="G39" s="50" t="n">
        <x:f>IF(COUNTIFS(G7:G38,"미산정")&gt;0,"미산정",SUM(G7:G38))</x:f>
        <x:v>202550</x:v>
      </x:c>
      <x:c r="H39" s="50" t="n">
        <x:f>IF(COUNTIFS(H7:H38,"미산정")&gt;0,"미산정",SUM(H7:H38))</x:f>
        <x:v>5685</x:v>
      </x:c>
      <x:c r="I39" s="50" t="n">
        <x:f>IF(COUNTIFS(I7:I38,"미산정")&gt;0,"미산정",SUM(I7:I38))</x:f>
        <x:v>2268</x:v>
      </x:c>
      <x:c r="J39" s="50" t="n">
        <x:f>IF(COUNTIFS(J7:J38,"미산정")&gt;0,"미산정",SUM(J7:J38))</x:f>
        <x:v>2268</x:v>
      </x:c>
      <x:c r="K39" s="50" t="n">
        <x:f>IF(COUNTIFS(K7:K38,"미산정")&gt;0,"미산정",SUM(K7:K38))</x:f>
        <x:v>4536</x:v>
      </x:c>
      <x:c r="L39" s="48"/>
      <x:c r="M39" s="48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8" customHeight="1">
      <x:c r="A42" s="5" t="str">
        <x:v>‘일부 반영’과 ‘미산정’ 공정은 전체 필요 자재 물량이 산정된 상태가 아닙니다. 반영 합계는 일치 규격에 한정합니다.</x:v>
      </x:c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</x:row>
    <x:row r="43" ht="28" customHeight="1">
      <x:c r="A43" s="5" t="str">
        <x:v>거푸집·동바리의 완료 WD는 설치 공정 완료일입니다. 해체·회수일은 미제공이며 동간 재사용량을 차감하지 않았습니다.</x:v>
      </x:c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</x:sheetData>
  <x:mergeCells>
    <x:mergeCell ref="A3:M3"/>
    <x:mergeCell ref="A4:M4"/>
    <x:mergeCell ref="A42:M42"/>
    <x:mergeCell ref="A43:M43"/>
  </x:mergeCells>
  <x:conditionalFormatting sqref="L7:L38">
    <x:cfRule type="containsText" dxfId="0" priority="1" operator="containsText" text="미산정"/>
    <x:cfRule type="containsText" dxfId="1" priority="2" operator="containsText" text="일부"/>
  </x:conditionalFormatting>
  <x:conditionalFormatting sqref="O7:O38">
    <x:cfRule type="containsText" dxfId="2" priority="3" operator="containsText" text="진행 중"/>
    <x:cfRule type="containsText" dxfId="3" priority="4" operator="containsText" text="완료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F4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" hidden="0" customWidth="1"/>
    <x:col min="2" max="2" width="9.380000114440918" hidden="0" customWidth="1"/>
    <x:col min="3" max="3" width="23.5" hidden="0" customWidth="1"/>
    <x:col min="4" max="4" width="12.5" hidden="0" customWidth="1"/>
    <x:col min="5" max="5" width="15.630000114440918" hidden="0" customWidth="1"/>
    <x:col min="6" max="6" width="21" hidden="0" customWidth="1"/>
    <x:col min="7" max="7" width="29.5" hidden="0" customWidth="1"/>
    <x:col min="8" max="8" width="6.25" hidden="0" customWidth="1"/>
    <x:col min="9" max="9" width="11.880000114440918" hidden="0" customWidth="1"/>
    <x:col min="10" max="10" width="9.25" hidden="0" customWidth="1"/>
    <x:col min="11" max="11" width="9.25" hidden="0" customWidth="1"/>
    <x:col min="12" max="12" width="9.25" hidden="0" customWidth="1"/>
    <x:col min="13" max="13" width="10.630000114440918" hidden="0" customWidth="1"/>
    <x:col min="14" max="14" width="12.25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3" t="str">
        <x:v>공정별 자재 사용 계획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5" t="str">
        <x:f>"가상 진행 WD "&amp;'원자료·매핑'!$B$15&amp;" 기준. 계획량은 원자료 유지. 기불출·야적·잔여 사용량은 진행 가정으로 계산."</x:f>
        <x:v>가상 진행 WD 10 기준. 계획량은 원자료 유지. 기불출·야적·잔여 사용량은 진행 가정으로 계산.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ht="28" customHeight="1">
      <x:c r="A4" s="5" t="str">
        <x:v>반입 WD는 선반입 시나리오를 적용. 철근 길이·미일치 규격·회수일의 미제공 값은 원자료 상태 유지.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12" t="str">
        <x:v>번호</x:v>
      </x:c>
      <x:c r="B6" s="12" t="str">
        <x:v>동</x:v>
      </x:c>
      <x:c r="C6" s="12" t="str">
        <x:v>공정</x:v>
      </x:c>
      <x:c r="D6" s="12" t="str">
        <x:v>자재군</x:v>
      </x:c>
      <x:c r="E6" s="12" t="str">
        <x:v>품목</x:v>
      </x:c>
      <x:c r="F6" s="12" t="str">
        <x:v>등록 규격</x:v>
      </x:c>
      <x:c r="G6" s="12" t="str">
        <x:v>원자료 규격</x:v>
      </x:c>
      <x:c r="H6" s="12" t="str">
        <x:v>단위</x:v>
      </x:c>
      <x:c r="I6" s="12" t="str">
        <x:v>사용 계획량</x:v>
      </x:c>
      <x:c r="J6" s="12" t="str">
        <x:v>착수 WD</x:v>
      </x:c>
      <x:c r="K6" s="12" t="str">
        <x:v>완료 WD</x:v>
      </x:c>
      <x:c r="L6" s="12" t="str">
        <x:v>반입 WD</x:v>
      </x:c>
      <x:c r="M6" s="12" t="str">
        <x:v>길이 mm</x:v>
      </x:c>
      <x:c r="N6" s="12" t="str">
        <x:v>원본 행</x:v>
      </x:c>
      <x:c r="O6" s="61" t="str">
        <x:v>기불출량(가상)</x:v>
      </x:c>
      <x:c r="P6" s="61" t="str">
        <x:v>현재 야적량</x:v>
      </x:c>
      <x:c r="Q6" s="61" t="str">
        <x:v>잔여 사용량</x:v>
      </x:c>
      <x:c r="R6" s="61" t="str">
        <x:v>자재 상태</x:v>
      </x:c>
    </x:row>
    <x:row r="7" ht="40" customHeight="1">
      <x:c r="A7" s="24" t="n">
        <x:v>1</x:v>
      </x:c>
      <x:c r="B7" s="24" t="str">
        <x:v>113동</x:v>
      </x:c>
      <x:c r="C7" s="13" t="str">
        <x:v>벽체·기둥 철근배근</x:v>
      </x:c>
      <x:c r="D7" s="13" t="str">
        <x:v>철근</x:v>
      </x:c>
      <x:c r="E7" s="13" t="str">
        <x:v>철근</x:v>
      </x:c>
      <x:c r="F7" s="13" t="str">
        <x:v>D10</x:v>
      </x:c>
      <x:c r="G7" s="13" t="str">
        <x:v>SD500 D10 / 부위별 공장 가공</x:v>
      </x:c>
      <x:c r="H7" s="13" t="str">
        <x:v>kg</x:v>
      </x:c>
      <x:c r="I7" s="19" t="n">
        <x:f>'원자료·매핑'!O17</x:f>
        <x:v>1550</x:v>
      </x:c>
      <x:c r="J7" s="26" t="n">
        <x:f>'원자료·매핑'!I17</x:f>
        <x:v>43</x:v>
      </x:c>
      <x:c r="K7" s="26" t="n">
        <x:f>'원자료·매핑'!J17</x:f>
        <x:v>47</x:v>
      </x:c>
      <x:c r="L7" s="26" t="n">
        <x:f>'원자료·매핑'!R17</x:f>
        <x:v>42</x:v>
      </x:c>
      <x:c r="M7" s="24" t="str">
        <x:v>미제공</x:v>
      </x:c>
      <x:c r="N7" s="24" t="n">
        <x:v>7</x:v>
      </x:c>
      <x:c r="O7" s="69" t="n">
        <x:f>'원자료·매핑'!U17</x:f>
        <x:v>0</x:v>
      </x:c>
      <x:c r="P7" s="69" t="n">
        <x:f>'원자료·매핑'!V17</x:f>
        <x:v>0</x:v>
      </x:c>
      <x:c r="Q7" s="69" t="n">
        <x:f>'원자료·매핑'!X17</x:f>
        <x:v>1550</x:v>
      </x:c>
      <x:c r="R7" s="62" t="str">
        <x:f>IF(O7=I7,"전량 불출(가상)",IF(O7&gt;0,"부분 사용·잔량 야적",IF(P7&gt;0,"반입·야적(가상)","반입 예정")))</x:f>
        <x:v>반입 예정</x:v>
      </x:c>
    </x:row>
    <x:row r="8" ht="40" customHeight="1">
      <x:c r="A8" s="25" t="n">
        <x:v>2</x:v>
      </x:c>
      <x:c r="B8" s="25" t="str">
        <x:v>113동</x:v>
      </x:c>
      <x:c r="C8" s="6" t="str">
        <x:v>벽체·기둥 철근배근</x:v>
      </x:c>
      <x:c r="D8" s="6" t="str">
        <x:v>철근</x:v>
      </x:c>
      <x:c r="E8" s="6" t="str">
        <x:v>철근</x:v>
      </x:c>
      <x:c r="F8" s="6" t="str">
        <x:v>D13</x:v>
      </x:c>
      <x:c r="G8" s="6" t="str">
        <x:v>SD500 D13 / 부위별 공장 가공</x:v>
      </x:c>
      <x:c r="H8" s="6" t="str">
        <x:v>kg</x:v>
      </x:c>
      <x:c r="I8" s="20" t="n">
        <x:f>'원자료·매핑'!O18</x:f>
        <x:v>2330</x:v>
      </x:c>
      <x:c r="J8" s="27" t="n">
        <x:f>'원자료·매핑'!I18</x:f>
        <x:v>43</x:v>
      </x:c>
      <x:c r="K8" s="27" t="n">
        <x:f>'원자료·매핑'!J18</x:f>
        <x:v>47</x:v>
      </x:c>
      <x:c r="L8" s="27" t="n">
        <x:f>'원자료·매핑'!R18</x:f>
        <x:v>42</x:v>
      </x:c>
      <x:c r="M8" s="25" t="str">
        <x:v>미제공</x:v>
      </x:c>
      <x:c r="N8" s="25" t="n">
        <x:v>8</x:v>
      </x:c>
      <x:c r="O8" s="70" t="n">
        <x:f>'원자료·매핑'!U18</x:f>
        <x:v>0</x:v>
      </x:c>
      <x:c r="P8" s="70" t="n">
        <x:f>'원자료·매핑'!V18</x:f>
        <x:v>0</x:v>
      </x:c>
      <x:c r="Q8" s="70" t="n">
        <x:f>'원자료·매핑'!X18</x:f>
        <x:v>2330</x:v>
      </x:c>
      <x:c r="R8" s="58" t="str">
        <x:f>IF(O8=I8,"전량 불출(가상)",IF(O8&gt;0,"부분 사용·잔량 야적",IF(P8&gt;0,"반입·야적(가상)","반입 예정")))</x:f>
        <x:v>반입 예정</x:v>
      </x:c>
    </x:row>
    <x:row r="9" ht="40" customHeight="1">
      <x:c r="A9" s="24" t="n">
        <x:v>3</x:v>
      </x:c>
      <x:c r="B9" s="24" t="str">
        <x:v>113동</x:v>
      </x:c>
      <x:c r="C9" s="13" t="str">
        <x:v>벽체·기둥 철근배근</x:v>
      </x:c>
      <x:c r="D9" s="13" t="str">
        <x:v>철근</x:v>
      </x:c>
      <x:c r="E9" s="13" t="str">
        <x:v>철근</x:v>
      </x:c>
      <x:c r="F9" s="13" t="str">
        <x:v>D16</x:v>
      </x:c>
      <x:c r="G9" s="13" t="str">
        <x:v>SD500 D16 / 부위별 공장 가공</x:v>
      </x:c>
      <x:c r="H9" s="13" t="str">
        <x:v>kg</x:v>
      </x:c>
      <x:c r="I9" s="19" t="n">
        <x:f>'원자료·매핑'!O19</x:f>
        <x:v>2910</x:v>
      </x:c>
      <x:c r="J9" s="26" t="n">
        <x:f>'원자료·매핑'!I19</x:f>
        <x:v>43</x:v>
      </x:c>
      <x:c r="K9" s="26" t="n">
        <x:f>'원자료·매핑'!J19</x:f>
        <x:v>47</x:v>
      </x:c>
      <x:c r="L9" s="26" t="n">
        <x:f>'원자료·매핑'!R19</x:f>
        <x:v>42</x:v>
      </x:c>
      <x:c r="M9" s="24" t="str">
        <x:v>미제공</x:v>
      </x:c>
      <x:c r="N9" s="24" t="n">
        <x:v>9</x:v>
      </x:c>
      <x:c r="O9" s="69" t="n">
        <x:f>'원자료·매핑'!U19</x:f>
        <x:v>0</x:v>
      </x:c>
      <x:c r="P9" s="69" t="n">
        <x:f>'원자료·매핑'!V19</x:f>
        <x:v>0</x:v>
      </x:c>
      <x:c r="Q9" s="69" t="n">
        <x:f>'원자료·매핑'!X19</x:f>
        <x:v>2910</x:v>
      </x:c>
      <x:c r="R9" s="62" t="str">
        <x:f>IF(O9=I9,"전량 불출(가상)",IF(O9&gt;0,"부분 사용·잔량 야적",IF(P9&gt;0,"반입·야적(가상)","반입 예정")))</x:f>
        <x:v>반입 예정</x:v>
      </x:c>
    </x:row>
    <x:row r="10" ht="40" customHeight="1">
      <x:c r="A10" s="25" t="n">
        <x:v>4</x:v>
      </x:c>
      <x:c r="B10" s="25" t="str">
        <x:v>113동</x:v>
      </x:c>
      <x:c r="C10" s="6" t="str">
        <x:v>벽체·기둥 철근배근</x:v>
      </x:c>
      <x:c r="D10" s="6" t="str">
        <x:v>철근</x:v>
      </x:c>
      <x:c r="E10" s="6" t="str">
        <x:v>철근</x:v>
      </x:c>
      <x:c r="F10" s="6" t="str">
        <x:v>D19</x:v>
      </x:c>
      <x:c r="G10" s="6" t="str">
        <x:v>SD500 D19 / 부위별 공장 가공</x:v>
      </x:c>
      <x:c r="H10" s="6" t="str">
        <x:v>kg</x:v>
      </x:c>
      <x:c r="I10" s="20" t="n">
        <x:f>'원자료·매핑'!O20</x:f>
        <x:v>2910</x:v>
      </x:c>
      <x:c r="J10" s="27" t="n">
        <x:f>'원자료·매핑'!I20</x:f>
        <x:v>43</x:v>
      </x:c>
      <x:c r="K10" s="27" t="n">
        <x:f>'원자료·매핑'!J20</x:f>
        <x:v>47</x:v>
      </x:c>
      <x:c r="L10" s="27" t="n">
        <x:f>'원자료·매핑'!R20</x:f>
        <x:v>42</x:v>
      </x:c>
      <x:c r="M10" s="25" t="str">
        <x:v>미제공</x:v>
      </x:c>
      <x:c r="N10" s="25" t="n">
        <x:v>10</x:v>
      </x:c>
      <x:c r="O10" s="70" t="n">
        <x:f>'원자료·매핑'!U20</x:f>
        <x:v>0</x:v>
      </x:c>
      <x:c r="P10" s="70" t="n">
        <x:f>'원자료·매핑'!V20</x:f>
        <x:v>0</x:v>
      </x:c>
      <x:c r="Q10" s="70" t="n">
        <x:f>'원자료·매핑'!X20</x:f>
        <x:v>2910</x:v>
      </x:c>
      <x:c r="R10" s="58" t="str">
        <x:f>IF(O10=I10,"전량 불출(가상)",IF(O10&gt;0,"부분 사용·잔량 야적",IF(P10&gt;0,"반입·야적(가상)","반입 예정")))</x:f>
        <x:v>반입 예정</x:v>
      </x:c>
    </x:row>
    <x:row r="11" ht="40" customHeight="1">
      <x:c r="A11" s="24" t="n">
        <x:v>5</x:v>
      </x:c>
      <x:c r="B11" s="24" t="str">
        <x:v>113동</x:v>
      </x:c>
      <x:c r="C11" s="13" t="str">
        <x:v>벽체·기둥 철근배근</x:v>
      </x:c>
      <x:c r="D11" s="13" t="str">
        <x:v>철근</x:v>
      </x:c>
      <x:c r="E11" s="13" t="str">
        <x:v>철근</x:v>
      </x:c>
      <x:c r="F11" s="13" t="str">
        <x:v>D22</x:v>
      </x:c>
      <x:c r="G11" s="13" t="str">
        <x:v>SD500 D22 / 부위별 공장 가공</x:v>
      </x:c>
      <x:c r="H11" s="13" t="str">
        <x:v>kg</x:v>
      </x:c>
      <x:c r="I11" s="19" t="n">
        <x:f>'원자료·매핑'!O21</x:f>
        <x:v>3880</x:v>
      </x:c>
      <x:c r="J11" s="26" t="n">
        <x:f>'원자료·매핑'!I21</x:f>
        <x:v>43</x:v>
      </x:c>
      <x:c r="K11" s="26" t="n">
        <x:f>'원자료·매핑'!J21</x:f>
        <x:v>47</x:v>
      </x:c>
      <x:c r="L11" s="26" t="n">
        <x:f>'원자료·매핑'!R21</x:f>
        <x:v>42</x:v>
      </x:c>
      <x:c r="M11" s="24" t="str">
        <x:v>미제공</x:v>
      </x:c>
      <x:c r="N11" s="24" t="n">
        <x:v>11</x:v>
      </x:c>
      <x:c r="O11" s="69" t="n">
        <x:f>'원자료·매핑'!U21</x:f>
        <x:v>0</x:v>
      </x:c>
      <x:c r="P11" s="69" t="n">
        <x:f>'원자료·매핑'!V21</x:f>
        <x:v>0</x:v>
      </x:c>
      <x:c r="Q11" s="69" t="n">
        <x:f>'원자료·매핑'!X21</x:f>
        <x:v>3880</x:v>
      </x:c>
      <x:c r="R11" s="62" t="str">
        <x:f>IF(O11=I11,"전량 불출(가상)",IF(O11&gt;0,"부분 사용·잔량 야적",IF(P11&gt;0,"반입·야적(가상)","반입 예정")))</x:f>
        <x:v>반입 예정</x:v>
      </x:c>
    </x:row>
    <x:row r="12" ht="40" customHeight="1">
      <x:c r="A12" s="25" t="n">
        <x:v>6</x:v>
      </x:c>
      <x:c r="B12" s="25" t="str">
        <x:v>113동</x:v>
      </x:c>
      <x:c r="C12" s="6" t="str">
        <x:v>벽체·기둥 철근배근</x:v>
      </x:c>
      <x:c r="D12" s="6" t="str">
        <x:v>철근</x:v>
      </x:c>
      <x:c r="E12" s="6" t="str">
        <x:v>철근</x:v>
      </x:c>
      <x:c r="F12" s="6" t="str">
        <x:v>D25</x:v>
      </x:c>
      <x:c r="G12" s="6" t="str">
        <x:v>SD500 D25 / 부위별 공장 가공</x:v>
      </x:c>
      <x:c r="H12" s="6" t="str">
        <x:v>kg</x:v>
      </x:c>
      <x:c r="I12" s="20" t="n">
        <x:f>'원자료·매핑'!O22</x:f>
        <x:v>5810</x:v>
      </x:c>
      <x:c r="J12" s="27" t="n">
        <x:f>'원자료·매핑'!I22</x:f>
        <x:v>43</x:v>
      </x:c>
      <x:c r="K12" s="27" t="n">
        <x:f>'원자료·매핑'!J22</x:f>
        <x:v>47</x:v>
      </x:c>
      <x:c r="L12" s="27" t="n">
        <x:f>'원자료·매핑'!R22</x:f>
        <x:v>42</x:v>
      </x:c>
      <x:c r="M12" s="25" t="str">
        <x:v>미제공</x:v>
      </x:c>
      <x:c r="N12" s="25" t="n">
        <x:v>12</x:v>
      </x:c>
      <x:c r="O12" s="70" t="n">
        <x:f>'원자료·매핑'!U22</x:f>
        <x:v>0</x:v>
      </x:c>
      <x:c r="P12" s="70" t="n">
        <x:f>'원자료·매핑'!V22</x:f>
        <x:v>0</x:v>
      </x:c>
      <x:c r="Q12" s="70" t="n">
        <x:f>'원자료·매핑'!X22</x:f>
        <x:v>5810</x:v>
      </x:c>
      <x:c r="R12" s="58" t="str">
        <x:f>IF(O12=I12,"전량 불출(가상)",IF(O12&gt;0,"부분 사용·잔량 야적",IF(P12&gt;0,"반입·야적(가상)","반입 예정")))</x:f>
        <x:v>반입 예정</x:v>
      </x:c>
    </x:row>
    <x:row r="13" ht="40" customHeight="1">
      <x:c r="A13" s="24" t="n">
        <x:v>7</x:v>
      </x:c>
      <x:c r="B13" s="24" t="str">
        <x:v>113동</x:v>
      </x:c>
      <x:c r="C13" s="13" t="str">
        <x:v>수직부 거푸집 설치</x:v>
      </x:c>
      <x:c r="D13" s="13" t="str">
        <x:v>거푸집</x:v>
      </x:c>
      <x:c r="E13" s="13" t="str">
        <x:v>유로폼</x:v>
      </x:c>
      <x:c r="F13" s="13" t="str">
        <x:v>500x1200</x:v>
      </x:c>
      <x:c r="G13" s="13" t="str">
        <x:v>500×1,200mm</x:v>
      </x:c>
      <x:c r="H13" s="13" t="str">
        <x:v>장</x:v>
      </x:c>
      <x:c r="I13" s="19" t="n">
        <x:f>'원자료·매핑'!O23</x:f>
        <x:v>765</x:v>
      </x:c>
      <x:c r="J13" s="26" t="n">
        <x:f>'원자료·매핑'!I23</x:f>
        <x:v>48</x:v>
      </x:c>
      <x:c r="K13" s="26" t="n">
        <x:f>'원자료·매핑'!J23</x:f>
        <x:v>54</x:v>
      </x:c>
      <x:c r="L13" s="26" t="n">
        <x:f>'원자료·매핑'!R23</x:f>
        <x:v>47</x:v>
      </x:c>
      <x:c r="M13" s="24" t="str">
        <x:v>해당 없음</x:v>
      </x:c>
      <x:c r="N13" s="24" t="n">
        <x:v>13</x:v>
      </x:c>
      <x:c r="O13" s="69" t="n">
        <x:f>'원자료·매핑'!U23</x:f>
        <x:v>0</x:v>
      </x:c>
      <x:c r="P13" s="69" t="n">
        <x:f>'원자료·매핑'!V23</x:f>
        <x:v>0</x:v>
      </x:c>
      <x:c r="Q13" s="69" t="n">
        <x:f>'원자료·매핑'!X23</x:f>
        <x:v>765</x:v>
      </x:c>
      <x:c r="R13" s="62" t="str">
        <x:f>IF(O13=I13,"전량 불출(가상)",IF(O13&gt;0,"부분 사용·잔량 야적",IF(P13&gt;0,"반입·야적(가상)","반입 예정")))</x:f>
        <x:v>반입 예정</x:v>
      </x:c>
    </x:row>
    <x:row r="14" ht="40" customHeight="1">
      <x:c r="A14" s="25" t="n">
        <x:v>8</x:v>
      </x:c>
      <x:c r="B14" s="25" t="str">
        <x:v>113동</x:v>
      </x:c>
      <x:c r="C14" s="6" t="str">
        <x:v>수직부 거푸집 설치</x:v>
      </x:c>
      <x:c r="D14" s="6" t="str">
        <x:v>거푸집</x:v>
      </x:c>
      <x:c r="E14" s="6" t="str">
        <x:v>유로폼</x:v>
      </x:c>
      <x:c r="F14" s="6" t="str">
        <x:v>600x1200</x:v>
      </x:c>
      <x:c r="G14" s="6" t="str">
        <x:v>600×1,200mm</x:v>
      </x:c>
      <x:c r="H14" s="6" t="str">
        <x:v>장</x:v>
      </x:c>
      <x:c r="I14" s="20" t="n">
        <x:f>'원자료·매핑'!O24</x:f>
        <x:v>266</x:v>
      </x:c>
      <x:c r="J14" s="27" t="n">
        <x:f>'원자료·매핑'!I24</x:f>
        <x:v>48</x:v>
      </x:c>
      <x:c r="K14" s="27" t="n">
        <x:f>'원자료·매핑'!J24</x:f>
        <x:v>54</x:v>
      </x:c>
      <x:c r="L14" s="27" t="n">
        <x:f>'원자료·매핑'!R24</x:f>
        <x:v>47</x:v>
      </x:c>
      <x:c r="M14" s="25" t="str">
        <x:v>해당 없음</x:v>
      </x:c>
      <x:c r="N14" s="25" t="n">
        <x:v>14</x:v>
      </x:c>
      <x:c r="O14" s="70" t="n">
        <x:f>'원자료·매핑'!U24</x:f>
        <x:v>0</x:v>
      </x:c>
      <x:c r="P14" s="70" t="n">
        <x:f>'원자료·매핑'!V24</x:f>
        <x:v>0</x:v>
      </x:c>
      <x:c r="Q14" s="70" t="n">
        <x:f>'원자료·매핑'!X24</x:f>
        <x:v>266</x:v>
      </x:c>
      <x:c r="R14" s="58" t="str">
        <x:f>IF(O14=I14,"전량 불출(가상)",IF(O14&gt;0,"부분 사용·잔량 야적",IF(P14&gt;0,"반입·야적(가상)","반입 예정")))</x:f>
        <x:v>반입 예정</x:v>
      </x:c>
    </x:row>
    <x:row r="15" ht="40" customHeight="1">
      <x:c r="A15" s="24" t="n">
        <x:v>9</x:v>
      </x:c>
      <x:c r="B15" s="24" t="str">
        <x:v>113동</x:v>
      </x:c>
      <x:c r="C15" s="13" t="str">
        <x:v>수직부 거푸집 설치</x:v>
      </x:c>
      <x:c r="D15" s="13" t="str">
        <x:v>거푸집</x:v>
      </x:c>
      <x:c r="E15" s="13" t="str">
        <x:v>유로폼</x:v>
      </x:c>
      <x:c r="F15" s="13" t="str">
        <x:v>300x1200</x:v>
      </x:c>
      <x:c r="G15" s="13" t="str">
        <x:v>300×1,200mm</x:v>
      </x:c>
      <x:c r="H15" s="13" t="str">
        <x:v>장</x:v>
      </x:c>
      <x:c r="I15" s="19" t="n">
        <x:f>'원자료·매핑'!O25</x:f>
        <x:v>213</x:v>
      </x:c>
      <x:c r="J15" s="26" t="n">
        <x:f>'원자료·매핑'!I25</x:f>
        <x:v>48</x:v>
      </x:c>
      <x:c r="K15" s="26" t="n">
        <x:f>'원자료·매핑'!J25</x:f>
        <x:v>54</x:v>
      </x:c>
      <x:c r="L15" s="26" t="n">
        <x:f>'원자료·매핑'!R25</x:f>
        <x:v>47</x:v>
      </x:c>
      <x:c r="M15" s="24" t="str">
        <x:v>해당 없음</x:v>
      </x:c>
      <x:c r="N15" s="24" t="n">
        <x:v>15</x:v>
      </x:c>
      <x:c r="O15" s="69" t="n">
        <x:f>'원자료·매핑'!U25</x:f>
        <x:v>0</x:v>
      </x:c>
      <x:c r="P15" s="69" t="n">
        <x:f>'원자료·매핑'!V25</x:f>
        <x:v>0</x:v>
      </x:c>
      <x:c r="Q15" s="69" t="n">
        <x:f>'원자료·매핑'!X25</x:f>
        <x:v>213</x:v>
      </x:c>
      <x:c r="R15" s="62" t="str">
        <x:f>IF(O15=I15,"전량 불출(가상)",IF(O15&gt;0,"부분 사용·잔량 야적",IF(P15&gt;0,"반입·야적(가상)","반입 예정")))</x:f>
        <x:v>반입 예정</x:v>
      </x:c>
    </x:row>
    <x:row r="16" ht="40" customHeight="1">
      <x:c r="A16" s="25" t="n">
        <x:v>10</x:v>
      </x:c>
      <x:c r="B16" s="25" t="str">
        <x:v>113동</x:v>
      </x:c>
      <x:c r="C16" s="6" t="str">
        <x:v>시스템동바리 조립</x:v>
      </x:c>
      <x:c r="D16" s="6" t="str">
        <x:v>시스템동바리</x:v>
      </x:c>
      <x:c r="E16" s="6" t="str">
        <x:v>시스템서포트</x:v>
      </x:c>
      <x:c r="F16" s="6" t="str">
        <x:v>동바리 상부자키</x:v>
      </x:c>
      <x:c r="G16" s="6" t="str">
        <x:v>Ø45 / L=600mm</x:v>
      </x:c>
      <x:c r="H16" s="6" t="str">
        <x:v>개</x:v>
      </x:c>
      <x:c r="I16" s="20" t="n">
        <x:f>'원자료·매핑'!O37</x:f>
        <x:v>504</x:v>
      </x:c>
      <x:c r="J16" s="27" t="n">
        <x:f>'원자료·매핑'!I37</x:f>
        <x:v>55</x:v>
      </x:c>
      <x:c r="K16" s="27" t="n">
        <x:f>'원자료·매핑'!J37</x:f>
        <x:v>57</x:v>
      </x:c>
      <x:c r="L16" s="27" t="n">
        <x:f>'원자료·매핑'!R37</x:f>
        <x:v>54</x:v>
      </x:c>
      <x:c r="M16" s="25" t="str">
        <x:v>해당 없음</x:v>
      </x:c>
      <x:c r="N16" s="25" t="n">
        <x:v>27</x:v>
      </x:c>
      <x:c r="O16" s="70" t="n">
        <x:f>'원자료·매핑'!U37</x:f>
        <x:v>0</x:v>
      </x:c>
      <x:c r="P16" s="70" t="n">
        <x:f>'원자료·매핑'!V37</x:f>
        <x:v>0</x:v>
      </x:c>
      <x:c r="Q16" s="70" t="n">
        <x:f>'원자료·매핑'!X37</x:f>
        <x:v>504</x:v>
      </x:c>
      <x:c r="R16" s="58" t="str">
        <x:f>IF(O16=I16,"전량 불출(가상)",IF(O16&gt;0,"부분 사용·잔량 야적",IF(P16&gt;0,"반입·야적(가상)","반입 예정")))</x:f>
        <x:v>반입 예정</x:v>
      </x:c>
    </x:row>
    <x:row r="17" ht="40" customHeight="1">
      <x:c r="A17" s="24" t="n">
        <x:v>11</x:v>
      </x:c>
      <x:c r="B17" s="24" t="str">
        <x:v>113동</x:v>
      </x:c>
      <x:c r="C17" s="13" t="str">
        <x:v>시스템동바리 조립</x:v>
      </x:c>
      <x:c r="D17" s="13" t="str">
        <x:v>시스템동바리</x:v>
      </x:c>
      <x:c r="E17" s="13" t="str">
        <x:v>시스템서포트</x:v>
      </x:c>
      <x:c r="F17" s="13" t="str">
        <x:v>동바리 하부자키</x:v>
      </x:c>
      <x:c r="G17" s="13" t="str">
        <x:v>Ø45 / L=600mm</x:v>
      </x:c>
      <x:c r="H17" s="13" t="str">
        <x:v>개</x:v>
      </x:c>
      <x:c r="I17" s="19" t="n">
        <x:f>'원자료·매핑'!O38</x:f>
        <x:v>504</x:v>
      </x:c>
      <x:c r="J17" s="26" t="n">
        <x:f>'원자료·매핑'!I38</x:f>
        <x:v>55</x:v>
      </x:c>
      <x:c r="K17" s="26" t="n">
        <x:f>'원자료·매핑'!J38</x:f>
        <x:v>57</x:v>
      </x:c>
      <x:c r="L17" s="26" t="n">
        <x:f>'원자료·매핑'!R38</x:f>
        <x:v>54</x:v>
      </x:c>
      <x:c r="M17" s="24" t="str">
        <x:v>해당 없음</x:v>
      </x:c>
      <x:c r="N17" s="24" t="n">
        <x:v>28</x:v>
      </x:c>
      <x:c r="O17" s="69" t="n">
        <x:f>'원자료·매핑'!U38</x:f>
        <x:v>0</x:v>
      </x:c>
      <x:c r="P17" s="69" t="n">
        <x:f>'원자료·매핑'!V38</x:f>
        <x:v>0</x:v>
      </x:c>
      <x:c r="Q17" s="69" t="n">
        <x:f>'원자료·매핑'!X38</x:f>
        <x:v>504</x:v>
      </x:c>
      <x:c r="R17" s="62" t="str">
        <x:f>IF(O17=I17,"전량 불출(가상)",IF(O17&gt;0,"부분 사용·잔량 야적",IF(P17&gt;0,"반입·야적(가상)","반입 예정")))</x:f>
        <x:v>반입 예정</x:v>
      </x:c>
    </x:row>
    <x:row r="18" ht="40" customHeight="1">
      <x:c r="A18" s="25" t="n">
        <x:v>12</x:v>
      </x:c>
      <x:c r="B18" s="25" t="str">
        <x:v>113동</x:v>
      </x:c>
      <x:c r="C18" s="6" t="str">
        <x:v>시스템동바리 조립</x:v>
      </x:c>
      <x:c r="D18" s="6" t="str">
        <x:v>시스템동바리</x:v>
      </x:c>
      <x:c r="E18" s="6" t="str">
        <x:v>시스템서포트</x:v>
      </x:c>
      <x:c r="F18" s="6" t="str">
        <x:v>카플링(소켓)</x:v>
      </x:c>
      <x:c r="G18" s="6" t="str">
        <x:v>Ø60.5 / L=120mm</x:v>
      </x:c>
      <x:c r="H18" s="6" t="str">
        <x:v>개</x:v>
      </x:c>
      <x:c r="I18" s="20" t="n">
        <x:f>'원자료·매핑'!O39</x:f>
        <x:v>1008</x:v>
      </x:c>
      <x:c r="J18" s="27" t="n">
        <x:f>'원자료·매핑'!I39</x:f>
        <x:v>55</x:v>
      </x:c>
      <x:c r="K18" s="27" t="n">
        <x:f>'원자료·매핑'!J39</x:f>
        <x:v>57</x:v>
      </x:c>
      <x:c r="L18" s="27" t="n">
        <x:f>'원자료·매핑'!R39</x:f>
        <x:v>54</x:v>
      </x:c>
      <x:c r="M18" s="25" t="str">
        <x:v>해당 없음</x:v>
      </x:c>
      <x:c r="N18" s="25" t="n">
        <x:v>29</x:v>
      </x:c>
      <x:c r="O18" s="70" t="n">
        <x:f>'원자료·매핑'!U39</x:f>
        <x:v>0</x:v>
      </x:c>
      <x:c r="P18" s="70" t="n">
        <x:f>'원자료·매핑'!V39</x:f>
        <x:v>0</x:v>
      </x:c>
      <x:c r="Q18" s="70" t="n">
        <x:f>'원자료·매핑'!X39</x:f>
        <x:v>1008</x:v>
      </x:c>
      <x:c r="R18" s="58" t="str">
        <x:f>IF(O18=I18,"전량 불출(가상)",IF(O18&gt;0,"부분 사용·잔량 야적",IF(P18&gt;0,"반입·야적(가상)","반입 예정")))</x:f>
        <x:v>반입 예정</x:v>
      </x:c>
    </x:row>
    <x:row r="19" ht="40" customHeight="1">
      <x:c r="A19" s="24" t="n">
        <x:v>13</x:v>
      </x:c>
      <x:c r="B19" s="24" t="str">
        <x:v>113동</x:v>
      </x:c>
      <x:c r="C19" s="13" t="str">
        <x:v>보·슬래브 철근배근</x:v>
      </x:c>
      <x:c r="D19" s="13" t="str">
        <x:v>철근</x:v>
      </x:c>
      <x:c r="E19" s="13" t="str">
        <x:v>철근</x:v>
      </x:c>
      <x:c r="F19" s="13" t="str">
        <x:v>D10</x:v>
      </x:c>
      <x:c r="G19" s="13" t="str">
        <x:v>SD500 D10 / 부위별 공장 가공</x:v>
      </x:c>
      <x:c r="H19" s="13" t="str">
        <x:v>kg</x:v>
      </x:c>
      <x:c r="I19" s="19" t="n">
        <x:f>'원자료·매핑'!O43</x:f>
        <x:v>2520</x:v>
      </x:c>
      <x:c r="J19" s="26" t="n">
        <x:f>'원자료·매핑'!I43</x:f>
        <x:v>62</x:v>
      </x:c>
      <x:c r="K19" s="26" t="n">
        <x:f>'원자료·매핑'!J43</x:f>
        <x:v>64</x:v>
      </x:c>
      <x:c r="L19" s="26" t="n">
        <x:f>'원자료·매핑'!R43</x:f>
        <x:v>61</x:v>
      </x:c>
      <x:c r="M19" s="24" t="str">
        <x:v>미제공</x:v>
      </x:c>
      <x:c r="N19" s="24" t="n">
        <x:v>33</x:v>
      </x:c>
      <x:c r="O19" s="69" t="n">
        <x:f>'원자료·매핑'!U43</x:f>
        <x:v>0</x:v>
      </x:c>
      <x:c r="P19" s="69" t="n">
        <x:f>'원자료·매핑'!V43</x:f>
        <x:v>0</x:v>
      </x:c>
      <x:c r="Q19" s="69" t="n">
        <x:f>'원자료·매핑'!X43</x:f>
        <x:v>2520</x:v>
      </x:c>
      <x:c r="R19" s="62" t="str">
        <x:f>IF(O19=I19,"전량 불출(가상)",IF(O19&gt;0,"부분 사용·잔량 야적",IF(P19&gt;0,"반입·야적(가상)","반입 예정")))</x:f>
        <x:v>반입 예정</x:v>
      </x:c>
    </x:row>
    <x:row r="20" ht="40" customHeight="1">
      <x:c r="A20" s="25" t="n">
        <x:v>14</x:v>
      </x:c>
      <x:c r="B20" s="25" t="str">
        <x:v>113동</x:v>
      </x:c>
      <x:c r="C20" s="6" t="str">
        <x:v>보·슬래브 철근배근</x:v>
      </x:c>
      <x:c r="D20" s="6" t="str">
        <x:v>철근</x:v>
      </x:c>
      <x:c r="E20" s="6" t="str">
        <x:v>철근</x:v>
      </x:c>
      <x:c r="F20" s="6" t="str">
        <x:v>D13</x:v>
      </x:c>
      <x:c r="G20" s="6" t="str">
        <x:v>SD500 D13 / 부위별 공장 가공</x:v>
      </x:c>
      <x:c r="H20" s="6" t="str">
        <x:v>kg</x:v>
      </x:c>
      <x:c r="I20" s="20" t="n">
        <x:f>'원자료·매핑'!O44</x:f>
        <x:v>6300</x:v>
      </x:c>
      <x:c r="J20" s="27" t="n">
        <x:f>'원자료·매핑'!I44</x:f>
        <x:v>62</x:v>
      </x:c>
      <x:c r="K20" s="27" t="n">
        <x:f>'원자료·매핑'!J44</x:f>
        <x:v>64</x:v>
      </x:c>
      <x:c r="L20" s="27" t="n">
        <x:f>'원자료·매핑'!R44</x:f>
        <x:v>61</x:v>
      </x:c>
      <x:c r="M20" s="25" t="str">
        <x:v>미제공</x:v>
      </x:c>
      <x:c r="N20" s="25" t="n">
        <x:v>34</x:v>
      </x:c>
      <x:c r="O20" s="70" t="n">
        <x:f>'원자료·매핑'!U44</x:f>
        <x:v>0</x:v>
      </x:c>
      <x:c r="P20" s="70" t="n">
        <x:f>'원자료·매핑'!V44</x:f>
        <x:v>0</x:v>
      </x:c>
      <x:c r="Q20" s="70" t="n">
        <x:f>'원자료·매핑'!X44</x:f>
        <x:v>6300</x:v>
      </x:c>
      <x:c r="R20" s="58" t="str">
        <x:f>IF(O20=I20,"전량 불출(가상)",IF(O20&gt;0,"부분 사용·잔량 야적",IF(P20&gt;0,"반입·야적(가상)","반입 예정")))</x:f>
        <x:v>반입 예정</x:v>
      </x:c>
    </x:row>
    <x:row r="21" ht="40" customHeight="1">
      <x:c r="A21" s="24" t="n">
        <x:v>15</x:v>
      </x:c>
      <x:c r="B21" s="24" t="str">
        <x:v>113동</x:v>
      </x:c>
      <x:c r="C21" s="13" t="str">
        <x:v>보·슬래브 철근배근</x:v>
      </x:c>
      <x:c r="D21" s="13" t="str">
        <x:v>철근</x:v>
      </x:c>
      <x:c r="E21" s="13" t="str">
        <x:v>철근</x:v>
      </x:c>
      <x:c r="F21" s="13" t="str">
        <x:v>D16</x:v>
      </x:c>
      <x:c r="G21" s="13" t="str">
        <x:v>SD500 D16 / 부위별 공장 가공</x:v>
      </x:c>
      <x:c r="H21" s="13" t="str">
        <x:v>kg</x:v>
      </x:c>
      <x:c r="I21" s="19" t="n">
        <x:f>'원자료·매핑'!O45</x:f>
        <x:v>5040</x:v>
      </x:c>
      <x:c r="J21" s="26" t="n">
        <x:f>'원자료·매핑'!I45</x:f>
        <x:v>62</x:v>
      </x:c>
      <x:c r="K21" s="26" t="n">
        <x:f>'원자료·매핑'!J45</x:f>
        <x:v>64</x:v>
      </x:c>
      <x:c r="L21" s="26" t="n">
        <x:f>'원자료·매핑'!R45</x:f>
        <x:v>61</x:v>
      </x:c>
      <x:c r="M21" s="24" t="str">
        <x:v>미제공</x:v>
      </x:c>
      <x:c r="N21" s="24" t="n">
        <x:v>35</x:v>
      </x:c>
      <x:c r="O21" s="69" t="n">
        <x:f>'원자료·매핑'!U45</x:f>
        <x:v>0</x:v>
      </x:c>
      <x:c r="P21" s="69" t="n">
        <x:f>'원자료·매핑'!V45</x:f>
        <x:v>0</x:v>
      </x:c>
      <x:c r="Q21" s="69" t="n">
        <x:f>'원자료·매핑'!X45</x:f>
        <x:v>5040</x:v>
      </x:c>
      <x:c r="R21" s="62" t="str">
        <x:f>IF(O21=I21,"전량 불출(가상)",IF(O21&gt;0,"부분 사용·잔량 야적",IF(P21&gt;0,"반입·야적(가상)","반입 예정")))</x:f>
        <x:v>반입 예정</x:v>
      </x:c>
    </x:row>
    <x:row r="22" ht="40" customHeight="1">
      <x:c r="A22" s="25" t="n">
        <x:v>16</x:v>
      </x:c>
      <x:c r="B22" s="25" t="str">
        <x:v>113동</x:v>
      </x:c>
      <x:c r="C22" s="6" t="str">
        <x:v>보·슬래브 철근배근</x:v>
      </x:c>
      <x:c r="D22" s="6" t="str">
        <x:v>철근</x:v>
      </x:c>
      <x:c r="E22" s="6" t="str">
        <x:v>철근</x:v>
      </x:c>
      <x:c r="F22" s="6" t="str">
        <x:v>D19</x:v>
      </x:c>
      <x:c r="G22" s="6" t="str">
        <x:v>SD500 D19 / 부위별 공장 가공</x:v>
      </x:c>
      <x:c r="H22" s="6" t="str">
        <x:v>kg</x:v>
      </x:c>
      <x:c r="I22" s="20" t="n">
        <x:f>'원자료·매핑'!O46</x:f>
        <x:v>5040</x:v>
      </x:c>
      <x:c r="J22" s="27" t="n">
        <x:f>'원자료·매핑'!I46</x:f>
        <x:v>62</x:v>
      </x:c>
      <x:c r="K22" s="27" t="n">
        <x:f>'원자료·매핑'!J46</x:f>
        <x:v>64</x:v>
      </x:c>
      <x:c r="L22" s="27" t="n">
        <x:f>'원자료·매핑'!R46</x:f>
        <x:v>61</x:v>
      </x:c>
      <x:c r="M22" s="25" t="str">
        <x:v>미제공</x:v>
      </x:c>
      <x:c r="N22" s="25" t="n">
        <x:v>36</x:v>
      </x:c>
      <x:c r="O22" s="70" t="n">
        <x:f>'원자료·매핑'!U46</x:f>
        <x:v>0</x:v>
      </x:c>
      <x:c r="P22" s="70" t="n">
        <x:f>'원자료·매핑'!V46</x:f>
        <x:v>0</x:v>
      </x:c>
      <x:c r="Q22" s="70" t="n">
        <x:f>'원자료·매핑'!X46</x:f>
        <x:v>5040</x:v>
      </x:c>
      <x:c r="R22" s="58" t="str">
        <x:f>IF(O22=I22,"전량 불출(가상)",IF(O22&gt;0,"부분 사용·잔량 야적",IF(P22&gt;0,"반입·야적(가상)","반입 예정")))</x:f>
        <x:v>반입 예정</x:v>
      </x:c>
    </x:row>
    <x:row r="23" ht="40" customHeight="1">
      <x:c r="A23" s="24" t="n">
        <x:v>17</x:v>
      </x:c>
      <x:c r="B23" s="24" t="str">
        <x:v>113동</x:v>
      </x:c>
      <x:c r="C23" s="13" t="str">
        <x:v>보·슬래브 철근배근</x:v>
      </x:c>
      <x:c r="D23" s="13" t="str">
        <x:v>철근</x:v>
      </x:c>
      <x:c r="E23" s="13" t="str">
        <x:v>철근</x:v>
      </x:c>
      <x:c r="F23" s="13" t="str">
        <x:v>D22</x:v>
      </x:c>
      <x:c r="G23" s="13" t="str">
        <x:v>SD500 D22 / 부위별 공장 가공</x:v>
      </x:c>
      <x:c r="H23" s="13" t="str">
        <x:v>kg</x:v>
      </x:c>
      <x:c r="I23" s="19" t="n">
        <x:f>'원자료·매핑'!O47</x:f>
        <x:v>3780</x:v>
      </x:c>
      <x:c r="J23" s="26" t="n">
        <x:f>'원자료·매핑'!I47</x:f>
        <x:v>62</x:v>
      </x:c>
      <x:c r="K23" s="26" t="n">
        <x:f>'원자료·매핑'!J47</x:f>
        <x:v>64</x:v>
      </x:c>
      <x:c r="L23" s="26" t="n">
        <x:f>'원자료·매핑'!R47</x:f>
        <x:v>61</x:v>
      </x:c>
      <x:c r="M23" s="24" t="str">
        <x:v>미제공</x:v>
      </x:c>
      <x:c r="N23" s="24" t="n">
        <x:v>37</x:v>
      </x:c>
      <x:c r="O23" s="69" t="n">
        <x:f>'원자료·매핑'!U47</x:f>
        <x:v>0</x:v>
      </x:c>
      <x:c r="P23" s="69" t="n">
        <x:f>'원자료·매핑'!V47</x:f>
        <x:v>0</x:v>
      </x:c>
      <x:c r="Q23" s="69" t="n">
        <x:f>'원자료·매핑'!X47</x:f>
        <x:v>3780</x:v>
      </x:c>
      <x:c r="R23" s="62" t="str">
        <x:f>IF(O23=I23,"전량 불출(가상)",IF(O23&gt;0,"부분 사용·잔량 야적",IF(P23&gt;0,"반입·야적(가상)","반입 예정")))</x:f>
        <x:v>반입 예정</x:v>
      </x:c>
    </x:row>
    <x:row r="24" ht="40" customHeight="1">
      <x:c r="A24" s="25" t="n">
        <x:v>18</x:v>
      </x:c>
      <x:c r="B24" s="25" t="str">
        <x:v>113동</x:v>
      </x:c>
      <x:c r="C24" s="6" t="str">
        <x:v>보·슬래브 철근배근</x:v>
      </x:c>
      <x:c r="D24" s="6" t="str">
        <x:v>철근</x:v>
      </x:c>
      <x:c r="E24" s="6" t="str">
        <x:v>철근</x:v>
      </x:c>
      <x:c r="F24" s="6" t="str">
        <x:v>D25</x:v>
      </x:c>
      <x:c r="G24" s="6" t="str">
        <x:v>SD500 D25 / 부위별 공장 가공</x:v>
      </x:c>
      <x:c r="H24" s="6" t="str">
        <x:v>kg</x:v>
      </x:c>
      <x:c r="I24" s="20" t="n">
        <x:f>'원자료·매핑'!O48</x:f>
        <x:v>2520</x:v>
      </x:c>
      <x:c r="J24" s="27" t="n">
        <x:f>'원자료·매핑'!I48</x:f>
        <x:v>62</x:v>
      </x:c>
      <x:c r="K24" s="27" t="n">
        <x:f>'원자료·매핑'!J48</x:f>
        <x:v>64</x:v>
      </x:c>
      <x:c r="L24" s="27" t="n">
        <x:f>'원자료·매핑'!R48</x:f>
        <x:v>61</x:v>
      </x:c>
      <x:c r="M24" s="25" t="str">
        <x:v>미제공</x:v>
      </x:c>
      <x:c r="N24" s="25" t="n">
        <x:v>38</x:v>
      </x:c>
      <x:c r="O24" s="70" t="n">
        <x:f>'원자료·매핑'!U48</x:f>
        <x:v>0</x:v>
      </x:c>
      <x:c r="P24" s="70" t="n">
        <x:f>'원자료·매핑'!V48</x:f>
        <x:v>0</x:v>
      </x:c>
      <x:c r="Q24" s="70" t="n">
        <x:f>'원자료·매핑'!X48</x:f>
        <x:v>2520</x:v>
      </x:c>
      <x:c r="R24" s="58" t="str">
        <x:f>IF(O24=I24,"전량 불출(가상)",IF(O24&gt;0,"부분 사용·잔량 야적",IF(P24&gt;0,"반입·야적(가상)","반입 예정")))</x:f>
        <x:v>반입 예정</x:v>
      </x:c>
    </x:row>
    <x:row r="25" ht="40" customHeight="1">
      <x:c r="A25" s="24" t="n">
        <x:v>19</x:v>
      </x:c>
      <x:c r="B25" s="24" t="str">
        <x:v>112동</x:v>
      </x:c>
      <x:c r="C25" s="13" t="str">
        <x:v>벽체·기둥 철근배근</x:v>
      </x:c>
      <x:c r="D25" s="13" t="str">
        <x:v>철근</x:v>
      </x:c>
      <x:c r="E25" s="13" t="str">
        <x:v>철근</x:v>
      </x:c>
      <x:c r="F25" s="13" t="str">
        <x:v>D10</x:v>
      </x:c>
      <x:c r="G25" s="13" t="str">
        <x:v>SD500 D10 / 부위별 공장 가공</x:v>
      </x:c>
      <x:c r="H25" s="13" t="str">
        <x:v>kg</x:v>
      </x:c>
      <x:c r="I25" s="19" t="n">
        <x:f>'원자료·매핑'!O49</x:f>
        <x:v>1810</x:v>
      </x:c>
      <x:c r="J25" s="26" t="n">
        <x:f>'원자료·매핑'!I49</x:f>
        <x:v>18</x:v>
      </x:c>
      <x:c r="K25" s="26" t="n">
        <x:f>'원자료·매핑'!J49</x:f>
        <x:v>22</x:v>
      </x:c>
      <x:c r="L25" s="26" t="n">
        <x:f>'원자료·매핑'!R49</x:f>
        <x:v>17</x:v>
      </x:c>
      <x:c r="M25" s="24" t="str">
        <x:v>미제공</x:v>
      </x:c>
      <x:c r="N25" s="24" t="n">
        <x:v>39</x:v>
      </x:c>
      <x:c r="O25" s="69" t="n">
        <x:f>'원자료·매핑'!U49</x:f>
        <x:v>0</x:v>
      </x:c>
      <x:c r="P25" s="69" t="n">
        <x:f>'원자료·매핑'!V49</x:f>
        <x:v>0</x:v>
      </x:c>
      <x:c r="Q25" s="69" t="n">
        <x:f>'원자료·매핑'!X49</x:f>
        <x:v>1810</x:v>
      </x:c>
      <x:c r="R25" s="62" t="str">
        <x:f>IF(O25=I25,"전량 불출(가상)",IF(O25&gt;0,"부분 사용·잔량 야적",IF(P25&gt;0,"반입·야적(가상)","반입 예정")))</x:f>
        <x:v>반입 예정</x:v>
      </x:c>
    </x:row>
    <x:row r="26" ht="40" customHeight="1">
      <x:c r="A26" s="25" t="n">
        <x:v>20</x:v>
      </x:c>
      <x:c r="B26" s="25" t="str">
        <x:v>112동</x:v>
      </x:c>
      <x:c r="C26" s="6" t="str">
        <x:v>벽체·기둥 철근배근</x:v>
      </x:c>
      <x:c r="D26" s="6" t="str">
        <x:v>철근</x:v>
      </x:c>
      <x:c r="E26" s="6" t="str">
        <x:v>철근</x:v>
      </x:c>
      <x:c r="F26" s="6" t="str">
        <x:v>D13</x:v>
      </x:c>
      <x:c r="G26" s="6" t="str">
        <x:v>SD500 D13 / 부위별 공장 가공</x:v>
      </x:c>
      <x:c r="H26" s="6" t="str">
        <x:v>kg</x:v>
      </x:c>
      <x:c r="I26" s="20" t="n">
        <x:f>'원자료·매핑'!O50</x:f>
        <x:v>2710</x:v>
      </x:c>
      <x:c r="J26" s="27" t="n">
        <x:f>'원자료·매핑'!I50</x:f>
        <x:v>18</x:v>
      </x:c>
      <x:c r="K26" s="27" t="n">
        <x:f>'원자료·매핑'!J50</x:f>
        <x:v>22</x:v>
      </x:c>
      <x:c r="L26" s="27" t="n">
        <x:f>'원자료·매핑'!R50</x:f>
        <x:v>17</x:v>
      </x:c>
      <x:c r="M26" s="25" t="str">
        <x:v>미제공</x:v>
      </x:c>
      <x:c r="N26" s="25" t="n">
        <x:v>40</x:v>
      </x:c>
      <x:c r="O26" s="70" t="n">
        <x:f>'원자료·매핑'!U50</x:f>
        <x:v>0</x:v>
      </x:c>
      <x:c r="P26" s="70" t="n">
        <x:f>'원자료·매핑'!V50</x:f>
        <x:v>0</x:v>
      </x:c>
      <x:c r="Q26" s="70" t="n">
        <x:f>'원자료·매핑'!X50</x:f>
        <x:v>2710</x:v>
      </x:c>
      <x:c r="R26" s="58" t="str">
        <x:f>IF(O26=I26,"전량 불출(가상)",IF(O26&gt;0,"부분 사용·잔량 야적",IF(P26&gt;0,"반입·야적(가상)","반입 예정")))</x:f>
        <x:v>반입 예정</x:v>
      </x:c>
    </x:row>
    <x:row r="27" ht="40" customHeight="1">
      <x:c r="A27" s="24" t="n">
        <x:v>21</x:v>
      </x:c>
      <x:c r="B27" s="24" t="str">
        <x:v>112동</x:v>
      </x:c>
      <x:c r="C27" s="13" t="str">
        <x:v>벽체·기둥 철근배근</x:v>
      </x:c>
      <x:c r="D27" s="13" t="str">
        <x:v>철근</x:v>
      </x:c>
      <x:c r="E27" s="13" t="str">
        <x:v>철근</x:v>
      </x:c>
      <x:c r="F27" s="13" t="str">
        <x:v>D16</x:v>
      </x:c>
      <x:c r="G27" s="13" t="str">
        <x:v>SD500 D16 / 부위별 공장 가공</x:v>
      </x:c>
      <x:c r="H27" s="13" t="str">
        <x:v>kg</x:v>
      </x:c>
      <x:c r="I27" s="19" t="n">
        <x:f>'원자료·매핑'!O51</x:f>
        <x:v>3390</x:v>
      </x:c>
      <x:c r="J27" s="26" t="n">
        <x:f>'원자료·매핑'!I51</x:f>
        <x:v>18</x:v>
      </x:c>
      <x:c r="K27" s="26" t="n">
        <x:f>'원자료·매핑'!J51</x:f>
        <x:v>22</x:v>
      </x:c>
      <x:c r="L27" s="26" t="n">
        <x:f>'원자료·매핑'!R51</x:f>
        <x:v>17</x:v>
      </x:c>
      <x:c r="M27" s="24" t="str">
        <x:v>미제공</x:v>
      </x:c>
      <x:c r="N27" s="24" t="n">
        <x:v>41</x:v>
      </x:c>
      <x:c r="O27" s="69" t="n">
        <x:f>'원자료·매핑'!U51</x:f>
        <x:v>0</x:v>
      </x:c>
      <x:c r="P27" s="69" t="n">
        <x:f>'원자료·매핑'!V51</x:f>
        <x:v>0</x:v>
      </x:c>
      <x:c r="Q27" s="69" t="n">
        <x:f>'원자료·매핑'!X51</x:f>
        <x:v>3390</x:v>
      </x:c>
      <x:c r="R27" s="62" t="str">
        <x:f>IF(O27=I27,"전량 불출(가상)",IF(O27&gt;0,"부분 사용·잔량 야적",IF(P27&gt;0,"반입·야적(가상)","반입 예정")))</x:f>
        <x:v>반입 예정</x:v>
      </x:c>
    </x:row>
    <x:row r="28" ht="40" customHeight="1">
      <x:c r="A28" s="25" t="n">
        <x:v>22</x:v>
      </x:c>
      <x:c r="B28" s="25" t="str">
        <x:v>112동</x:v>
      </x:c>
      <x:c r="C28" s="6" t="str">
        <x:v>벽체·기둥 철근배근</x:v>
      </x:c>
      <x:c r="D28" s="6" t="str">
        <x:v>철근</x:v>
      </x:c>
      <x:c r="E28" s="6" t="str">
        <x:v>철근</x:v>
      </x:c>
      <x:c r="F28" s="6" t="str">
        <x:v>D19</x:v>
      </x:c>
      <x:c r="G28" s="6" t="str">
        <x:v>SD500 D19 / 부위별 공장 가공</x:v>
      </x:c>
      <x:c r="H28" s="6" t="str">
        <x:v>kg</x:v>
      </x:c>
      <x:c r="I28" s="20" t="n">
        <x:f>'원자료·매핑'!O52</x:f>
        <x:v>3390</x:v>
      </x:c>
      <x:c r="J28" s="27" t="n">
        <x:f>'원자료·매핑'!I52</x:f>
        <x:v>18</x:v>
      </x:c>
      <x:c r="K28" s="27" t="n">
        <x:f>'원자료·매핑'!J52</x:f>
        <x:v>22</x:v>
      </x:c>
      <x:c r="L28" s="27" t="n">
        <x:f>'원자료·매핑'!R52</x:f>
        <x:v>17</x:v>
      </x:c>
      <x:c r="M28" s="25" t="str">
        <x:v>미제공</x:v>
      </x:c>
      <x:c r="N28" s="25" t="n">
        <x:v>42</x:v>
      </x:c>
      <x:c r="O28" s="70" t="n">
        <x:f>'원자료·매핑'!U52</x:f>
        <x:v>0</x:v>
      </x:c>
      <x:c r="P28" s="70" t="n">
        <x:f>'원자료·매핑'!V52</x:f>
        <x:v>0</x:v>
      </x:c>
      <x:c r="Q28" s="70" t="n">
        <x:f>'원자료·매핑'!X52</x:f>
        <x:v>3390</x:v>
      </x:c>
      <x:c r="R28" s="58" t="str">
        <x:f>IF(O28=I28,"전량 불출(가상)",IF(O28&gt;0,"부분 사용·잔량 야적",IF(P28&gt;0,"반입·야적(가상)","반입 예정")))</x:f>
        <x:v>반입 예정</x:v>
      </x:c>
    </x:row>
    <x:row r="29" ht="40" customHeight="1">
      <x:c r="A29" s="24" t="n">
        <x:v>23</x:v>
      </x:c>
      <x:c r="B29" s="24" t="str">
        <x:v>112동</x:v>
      </x:c>
      <x:c r="C29" s="13" t="str">
        <x:v>벽체·기둥 철근배근</x:v>
      </x:c>
      <x:c r="D29" s="13" t="str">
        <x:v>철근</x:v>
      </x:c>
      <x:c r="E29" s="13" t="str">
        <x:v>철근</x:v>
      </x:c>
      <x:c r="F29" s="13" t="str">
        <x:v>D22</x:v>
      </x:c>
      <x:c r="G29" s="13" t="str">
        <x:v>SD500 D22 / 부위별 공장 가공</x:v>
      </x:c>
      <x:c r="H29" s="13" t="str">
        <x:v>kg</x:v>
      </x:c>
      <x:c r="I29" s="19" t="n">
        <x:f>'원자료·매핑'!O53</x:f>
        <x:v>4520</x:v>
      </x:c>
      <x:c r="J29" s="26" t="n">
        <x:f>'원자료·매핑'!I53</x:f>
        <x:v>18</x:v>
      </x:c>
      <x:c r="K29" s="26" t="n">
        <x:f>'원자료·매핑'!J53</x:f>
        <x:v>22</x:v>
      </x:c>
      <x:c r="L29" s="26" t="n">
        <x:f>'원자료·매핑'!R53</x:f>
        <x:v>17</x:v>
      </x:c>
      <x:c r="M29" s="24" t="str">
        <x:v>미제공</x:v>
      </x:c>
      <x:c r="N29" s="24" t="n">
        <x:v>43</x:v>
      </x:c>
      <x:c r="O29" s="69" t="n">
        <x:f>'원자료·매핑'!U53</x:f>
        <x:v>0</x:v>
      </x:c>
      <x:c r="P29" s="69" t="n">
        <x:f>'원자료·매핑'!V53</x:f>
        <x:v>0</x:v>
      </x:c>
      <x:c r="Q29" s="69" t="n">
        <x:f>'원자료·매핑'!X53</x:f>
        <x:v>4520</x:v>
      </x:c>
      <x:c r="R29" s="62" t="str">
        <x:f>IF(O29=I29,"전량 불출(가상)",IF(O29&gt;0,"부분 사용·잔량 야적",IF(P29&gt;0,"반입·야적(가상)","반입 예정")))</x:f>
        <x:v>반입 예정</x:v>
      </x:c>
    </x:row>
    <x:row r="30" ht="40" customHeight="1">
      <x:c r="A30" s="25" t="n">
        <x:v>24</x:v>
      </x:c>
      <x:c r="B30" s="25" t="str">
        <x:v>112동</x:v>
      </x:c>
      <x:c r="C30" s="6" t="str">
        <x:v>벽체·기둥 철근배근</x:v>
      </x:c>
      <x:c r="D30" s="6" t="str">
        <x:v>철근</x:v>
      </x:c>
      <x:c r="E30" s="6" t="str">
        <x:v>철근</x:v>
      </x:c>
      <x:c r="F30" s="6" t="str">
        <x:v>D25</x:v>
      </x:c>
      <x:c r="G30" s="6" t="str">
        <x:v>SD500 D25 / 부위별 공장 가공</x:v>
      </x:c>
      <x:c r="H30" s="6" t="str">
        <x:v>kg</x:v>
      </x:c>
      <x:c r="I30" s="20" t="n">
        <x:f>'원자료·매핑'!O54</x:f>
        <x:v>6780</x:v>
      </x:c>
      <x:c r="J30" s="27" t="n">
        <x:f>'원자료·매핑'!I54</x:f>
        <x:v>18</x:v>
      </x:c>
      <x:c r="K30" s="27" t="n">
        <x:f>'원자료·매핑'!J54</x:f>
        <x:v>22</x:v>
      </x:c>
      <x:c r="L30" s="27" t="n">
        <x:f>'원자료·매핑'!R54</x:f>
        <x:v>17</x:v>
      </x:c>
      <x:c r="M30" s="25" t="str">
        <x:v>미제공</x:v>
      </x:c>
      <x:c r="N30" s="25" t="n">
        <x:v>44</x:v>
      </x:c>
      <x:c r="O30" s="70" t="n">
        <x:f>'원자료·매핑'!U54</x:f>
        <x:v>0</x:v>
      </x:c>
      <x:c r="P30" s="70" t="n">
        <x:f>'원자료·매핑'!V54</x:f>
        <x:v>0</x:v>
      </x:c>
      <x:c r="Q30" s="70" t="n">
        <x:f>'원자료·매핑'!X54</x:f>
        <x:v>6780</x:v>
      </x:c>
      <x:c r="R30" s="58" t="str">
        <x:f>IF(O30=I30,"전량 불출(가상)",IF(O30&gt;0,"부분 사용·잔량 야적",IF(P30&gt;0,"반입·야적(가상)","반입 예정")))</x:f>
        <x:v>반입 예정</x:v>
      </x:c>
    </x:row>
    <x:row r="31" ht="40" customHeight="1">
      <x:c r="A31" s="24" t="n">
        <x:v>25</x:v>
      </x:c>
      <x:c r="B31" s="24" t="str">
        <x:v>112동</x:v>
      </x:c>
      <x:c r="C31" s="13" t="str">
        <x:v>수직부 거푸집 설치</x:v>
      </x:c>
      <x:c r="D31" s="13" t="str">
        <x:v>거푸집</x:v>
      </x:c>
      <x:c r="E31" s="13" t="str">
        <x:v>유로폼</x:v>
      </x:c>
      <x:c r="F31" s="13" t="str">
        <x:v>500x1200</x:v>
      </x:c>
      <x:c r="G31" s="13" t="str">
        <x:v>500×1,200mm</x:v>
      </x:c>
      <x:c r="H31" s="13" t="str">
        <x:v>장</x:v>
      </x:c>
      <x:c r="I31" s="19" t="n">
        <x:f>'원자료·매핑'!O55</x:f>
        <x:v>911</x:v>
      </x:c>
      <x:c r="J31" s="26" t="n">
        <x:f>'원자료·매핑'!I55</x:f>
        <x:v>23</x:v>
      </x:c>
      <x:c r="K31" s="26" t="n">
        <x:f>'원자료·매핑'!J55</x:f>
        <x:v>29</x:v>
      </x:c>
      <x:c r="L31" s="26" t="n">
        <x:f>'원자료·매핑'!R55</x:f>
        <x:v>22</x:v>
      </x:c>
      <x:c r="M31" s="24" t="str">
        <x:v>해당 없음</x:v>
      </x:c>
      <x:c r="N31" s="24" t="n">
        <x:v>45</x:v>
      </x:c>
      <x:c r="O31" s="69" t="n">
        <x:f>'원자료·매핑'!U55</x:f>
        <x:v>0</x:v>
      </x:c>
      <x:c r="P31" s="69" t="n">
        <x:f>'원자료·매핑'!V55</x:f>
        <x:v>0</x:v>
      </x:c>
      <x:c r="Q31" s="69" t="n">
        <x:f>'원자료·매핑'!X55</x:f>
        <x:v>911</x:v>
      </x:c>
      <x:c r="R31" s="62" t="str">
        <x:f>IF(O31=I31,"전량 불출(가상)",IF(O31&gt;0,"부분 사용·잔량 야적",IF(P31&gt;0,"반입·야적(가상)","반입 예정")))</x:f>
        <x:v>반입 예정</x:v>
      </x:c>
    </x:row>
    <x:row r="32" ht="40" customHeight="1">
      <x:c r="A32" s="25" t="n">
        <x:v>26</x:v>
      </x:c>
      <x:c r="B32" s="25" t="str">
        <x:v>112동</x:v>
      </x:c>
      <x:c r="C32" s="6" t="str">
        <x:v>수직부 거푸집 설치</x:v>
      </x:c>
      <x:c r="D32" s="6" t="str">
        <x:v>거푸집</x:v>
      </x:c>
      <x:c r="E32" s="6" t="str">
        <x:v>유로폼</x:v>
      </x:c>
      <x:c r="F32" s="6" t="str">
        <x:v>600x1200</x:v>
      </x:c>
      <x:c r="G32" s="6" t="str">
        <x:v>600×1,200mm</x:v>
      </x:c>
      <x:c r="H32" s="6" t="str">
        <x:v>장</x:v>
      </x:c>
      <x:c r="I32" s="20" t="n">
        <x:f>'원자료·매핑'!O56</x:f>
        <x:v>316</x:v>
      </x:c>
      <x:c r="J32" s="27" t="n">
        <x:f>'원자료·매핑'!I56</x:f>
        <x:v>23</x:v>
      </x:c>
      <x:c r="K32" s="27" t="n">
        <x:f>'원자료·매핑'!J56</x:f>
        <x:v>29</x:v>
      </x:c>
      <x:c r="L32" s="27" t="n">
        <x:f>'원자료·매핑'!R56</x:f>
        <x:v>22</x:v>
      </x:c>
      <x:c r="M32" s="25" t="str">
        <x:v>해당 없음</x:v>
      </x:c>
      <x:c r="N32" s="25" t="n">
        <x:v>46</x:v>
      </x:c>
      <x:c r="O32" s="70" t="n">
        <x:f>'원자료·매핑'!U56</x:f>
        <x:v>0</x:v>
      </x:c>
      <x:c r="P32" s="70" t="n">
        <x:f>'원자료·매핑'!V56</x:f>
        <x:v>0</x:v>
      </x:c>
      <x:c r="Q32" s="70" t="n">
        <x:f>'원자료·매핑'!X56</x:f>
        <x:v>316</x:v>
      </x:c>
      <x:c r="R32" s="58" t="str">
        <x:f>IF(O32=I32,"전량 불출(가상)",IF(O32&gt;0,"부분 사용·잔량 야적",IF(P32&gt;0,"반입·야적(가상)","반입 예정")))</x:f>
        <x:v>반입 예정</x:v>
      </x:c>
    </x:row>
    <x:row r="33" ht="40" customHeight="1">
      <x:c r="A33" s="24" t="n">
        <x:v>27</x:v>
      </x:c>
      <x:c r="B33" s="24" t="str">
        <x:v>112동</x:v>
      </x:c>
      <x:c r="C33" s="13" t="str">
        <x:v>수직부 거푸집 설치</x:v>
      </x:c>
      <x:c r="D33" s="13" t="str">
        <x:v>거푸집</x:v>
      </x:c>
      <x:c r="E33" s="13" t="str">
        <x:v>유로폼</x:v>
      </x:c>
      <x:c r="F33" s="13" t="str">
        <x:v>300x1200</x:v>
      </x:c>
      <x:c r="G33" s="13" t="str">
        <x:v>300×1,200mm</x:v>
      </x:c>
      <x:c r="H33" s="13" t="str">
        <x:v>장</x:v>
      </x:c>
      <x:c r="I33" s="19" t="n">
        <x:f>'원자료·매핑'!O57</x:f>
        <x:v>253</x:v>
      </x:c>
      <x:c r="J33" s="26" t="n">
        <x:f>'원자료·매핑'!I57</x:f>
        <x:v>23</x:v>
      </x:c>
      <x:c r="K33" s="26" t="n">
        <x:f>'원자료·매핑'!J57</x:f>
        <x:v>29</x:v>
      </x:c>
      <x:c r="L33" s="26" t="n">
        <x:f>'원자료·매핑'!R57</x:f>
        <x:v>22</x:v>
      </x:c>
      <x:c r="M33" s="24" t="str">
        <x:v>해당 없음</x:v>
      </x:c>
      <x:c r="N33" s="24" t="n">
        <x:v>47</x:v>
      </x:c>
      <x:c r="O33" s="69" t="n">
        <x:f>'원자료·매핑'!U57</x:f>
        <x:v>0</x:v>
      </x:c>
      <x:c r="P33" s="69" t="n">
        <x:f>'원자료·매핑'!V57</x:f>
        <x:v>0</x:v>
      </x:c>
      <x:c r="Q33" s="69" t="n">
        <x:f>'원자료·매핑'!X57</x:f>
        <x:v>253</x:v>
      </x:c>
      <x:c r="R33" s="62" t="str">
        <x:f>IF(O33=I33,"전량 불출(가상)",IF(O33&gt;0,"부분 사용·잔량 야적",IF(P33&gt;0,"반입·야적(가상)","반입 예정")))</x:f>
        <x:v>반입 예정</x:v>
      </x:c>
    </x:row>
    <x:row r="34" ht="40" customHeight="1">
      <x:c r="A34" s="25" t="n">
        <x:v>28</x:v>
      </x:c>
      <x:c r="B34" s="25" t="str">
        <x:v>112동</x:v>
      </x:c>
      <x:c r="C34" s="6" t="str">
        <x:v>시스템동바리 조립</x:v>
      </x:c>
      <x:c r="D34" s="6" t="str">
        <x:v>시스템동바리</x:v>
      </x:c>
      <x:c r="E34" s="6" t="str">
        <x:v>시스템서포트</x:v>
      </x:c>
      <x:c r="F34" s="6" t="str">
        <x:v>동바리 상부자키</x:v>
      </x:c>
      <x:c r="G34" s="6" t="str">
        <x:v>Ø45 / L=600mm</x:v>
      </x:c>
      <x:c r="H34" s="6" t="str">
        <x:v>개</x:v>
      </x:c>
      <x:c r="I34" s="20" t="n">
        <x:f>'원자료·매핑'!O69</x:f>
        <x:v>588</x:v>
      </x:c>
      <x:c r="J34" s="27" t="n">
        <x:f>'원자료·매핑'!I69</x:f>
        <x:v>30</x:v>
      </x:c>
      <x:c r="K34" s="27" t="n">
        <x:f>'원자료·매핑'!J69</x:f>
        <x:v>32</x:v>
      </x:c>
      <x:c r="L34" s="27" t="n">
        <x:f>'원자료·매핑'!R69</x:f>
        <x:v>29</x:v>
      </x:c>
      <x:c r="M34" s="25" t="str">
        <x:v>해당 없음</x:v>
      </x:c>
      <x:c r="N34" s="25" t="n">
        <x:v>59</x:v>
      </x:c>
      <x:c r="O34" s="70" t="n">
        <x:f>'원자료·매핑'!U69</x:f>
        <x:v>0</x:v>
      </x:c>
      <x:c r="P34" s="70" t="n">
        <x:f>'원자료·매핑'!V69</x:f>
        <x:v>0</x:v>
      </x:c>
      <x:c r="Q34" s="70" t="n">
        <x:f>'원자료·매핑'!X69</x:f>
        <x:v>588</x:v>
      </x:c>
      <x:c r="R34" s="58" t="str">
        <x:f>IF(O34=I34,"전량 불출(가상)",IF(O34&gt;0,"부분 사용·잔량 야적",IF(P34&gt;0,"반입·야적(가상)","반입 예정")))</x:f>
        <x:v>반입 예정</x:v>
      </x:c>
    </x:row>
    <x:row r="35" ht="40" customHeight="1">
      <x:c r="A35" s="24" t="n">
        <x:v>29</x:v>
      </x:c>
      <x:c r="B35" s="24" t="str">
        <x:v>112동</x:v>
      </x:c>
      <x:c r="C35" s="13" t="str">
        <x:v>시스템동바리 조립</x:v>
      </x:c>
      <x:c r="D35" s="13" t="str">
        <x:v>시스템동바리</x:v>
      </x:c>
      <x:c r="E35" s="13" t="str">
        <x:v>시스템서포트</x:v>
      </x:c>
      <x:c r="F35" s="13" t="str">
        <x:v>동바리 하부자키</x:v>
      </x:c>
      <x:c r="G35" s="13" t="str">
        <x:v>Ø45 / L=600mm</x:v>
      </x:c>
      <x:c r="H35" s="13" t="str">
        <x:v>개</x:v>
      </x:c>
      <x:c r="I35" s="19" t="n">
        <x:f>'원자료·매핑'!O70</x:f>
        <x:v>588</x:v>
      </x:c>
      <x:c r="J35" s="26" t="n">
        <x:f>'원자료·매핑'!I70</x:f>
        <x:v>30</x:v>
      </x:c>
      <x:c r="K35" s="26" t="n">
        <x:f>'원자료·매핑'!J70</x:f>
        <x:v>32</x:v>
      </x:c>
      <x:c r="L35" s="26" t="n">
        <x:f>'원자료·매핑'!R70</x:f>
        <x:v>29</x:v>
      </x:c>
      <x:c r="M35" s="24" t="str">
        <x:v>해당 없음</x:v>
      </x:c>
      <x:c r="N35" s="24" t="n">
        <x:v>60</x:v>
      </x:c>
      <x:c r="O35" s="69" t="n">
        <x:f>'원자료·매핑'!U70</x:f>
        <x:v>0</x:v>
      </x:c>
      <x:c r="P35" s="69" t="n">
        <x:f>'원자료·매핑'!V70</x:f>
        <x:v>0</x:v>
      </x:c>
      <x:c r="Q35" s="69" t="n">
        <x:f>'원자료·매핑'!X70</x:f>
        <x:v>588</x:v>
      </x:c>
      <x:c r="R35" s="62" t="str">
        <x:f>IF(O35=I35,"전량 불출(가상)",IF(O35&gt;0,"부분 사용·잔량 야적",IF(P35&gt;0,"반입·야적(가상)","반입 예정")))</x:f>
        <x:v>반입 예정</x:v>
      </x:c>
    </x:row>
    <x:row r="36" ht="40" customHeight="1">
      <x:c r="A36" s="25" t="n">
        <x:v>30</x:v>
      </x:c>
      <x:c r="B36" s="25" t="str">
        <x:v>112동</x:v>
      </x:c>
      <x:c r="C36" s="6" t="str">
        <x:v>시스템동바리 조립</x:v>
      </x:c>
      <x:c r="D36" s="6" t="str">
        <x:v>시스템동바리</x:v>
      </x:c>
      <x:c r="E36" s="6" t="str">
        <x:v>시스템서포트</x:v>
      </x:c>
      <x:c r="F36" s="6" t="str">
        <x:v>카플링(소켓)</x:v>
      </x:c>
      <x:c r="G36" s="6" t="str">
        <x:v>Ø60.5 / L=120mm</x:v>
      </x:c>
      <x:c r="H36" s="6" t="str">
        <x:v>개</x:v>
      </x:c>
      <x:c r="I36" s="20" t="n">
        <x:f>'원자료·매핑'!O71</x:f>
        <x:v>1176</x:v>
      </x:c>
      <x:c r="J36" s="27" t="n">
        <x:f>'원자료·매핑'!I71</x:f>
        <x:v>30</x:v>
      </x:c>
      <x:c r="K36" s="27" t="n">
        <x:f>'원자료·매핑'!J71</x:f>
        <x:v>32</x:v>
      </x:c>
      <x:c r="L36" s="27" t="n">
        <x:f>'원자료·매핑'!R71</x:f>
        <x:v>29</x:v>
      </x:c>
      <x:c r="M36" s="25" t="str">
        <x:v>해당 없음</x:v>
      </x:c>
      <x:c r="N36" s="25" t="n">
        <x:v>61</x:v>
      </x:c>
      <x:c r="O36" s="70" t="n">
        <x:f>'원자료·매핑'!U71</x:f>
        <x:v>0</x:v>
      </x:c>
      <x:c r="P36" s="70" t="n">
        <x:f>'원자료·매핑'!V71</x:f>
        <x:v>0</x:v>
      </x:c>
      <x:c r="Q36" s="70" t="n">
        <x:f>'원자료·매핑'!X71</x:f>
        <x:v>1176</x:v>
      </x:c>
      <x:c r="R36" s="58" t="str">
        <x:f>IF(O36=I36,"전량 불출(가상)",IF(O36&gt;0,"부분 사용·잔량 야적",IF(P36&gt;0,"반입·야적(가상)","반입 예정")))</x:f>
        <x:v>반입 예정</x:v>
      </x:c>
    </x:row>
    <x:row r="37" ht="40" customHeight="1">
      <x:c r="A37" s="24" t="n">
        <x:v>31</x:v>
      </x:c>
      <x:c r="B37" s="24" t="str">
        <x:v>112동</x:v>
      </x:c>
      <x:c r="C37" s="13" t="str">
        <x:v>보·슬래브 철근배근</x:v>
      </x:c>
      <x:c r="D37" s="13" t="str">
        <x:v>철근</x:v>
      </x:c>
      <x:c r="E37" s="13" t="str">
        <x:v>철근</x:v>
      </x:c>
      <x:c r="F37" s="13" t="str">
        <x:v>D10</x:v>
      </x:c>
      <x:c r="G37" s="13" t="str">
        <x:v>SD500 D10 / 부위별 공장 가공</x:v>
      </x:c>
      <x:c r="H37" s="13" t="str">
        <x:v>kg</x:v>
      </x:c>
      <x:c r="I37" s="19" t="n">
        <x:f>'원자료·매핑'!O75</x:f>
        <x:v>3010</x:v>
      </x:c>
      <x:c r="J37" s="26" t="n">
        <x:f>'원자료·매핑'!I75</x:f>
        <x:v>37</x:v>
      </x:c>
      <x:c r="K37" s="26" t="n">
        <x:f>'원자료·매핑'!J75</x:f>
        <x:v>39</x:v>
      </x:c>
      <x:c r="L37" s="26" t="n">
        <x:f>'원자료·매핑'!R75</x:f>
        <x:v>36</x:v>
      </x:c>
      <x:c r="M37" s="24" t="str">
        <x:v>미제공</x:v>
      </x:c>
      <x:c r="N37" s="24" t="n">
        <x:v>65</x:v>
      </x:c>
      <x:c r="O37" s="69" t="n">
        <x:f>'원자료·매핑'!U75</x:f>
        <x:v>0</x:v>
      </x:c>
      <x:c r="P37" s="69" t="n">
        <x:f>'원자료·매핑'!V75</x:f>
        <x:v>0</x:v>
      </x:c>
      <x:c r="Q37" s="69" t="n">
        <x:f>'원자료·매핑'!X75</x:f>
        <x:v>3010</x:v>
      </x:c>
      <x:c r="R37" s="62" t="str">
        <x:f>IF(O37=I37,"전량 불출(가상)",IF(O37&gt;0,"부분 사용·잔량 야적",IF(P37&gt;0,"반입·야적(가상)","반입 예정")))</x:f>
        <x:v>반입 예정</x:v>
      </x:c>
    </x:row>
    <x:row r="38" ht="40" customHeight="1">
      <x:c r="A38" s="25" t="n">
        <x:v>32</x:v>
      </x:c>
      <x:c r="B38" s="25" t="str">
        <x:v>112동</x:v>
      </x:c>
      <x:c r="C38" s="6" t="str">
        <x:v>보·슬래브 철근배근</x:v>
      </x:c>
      <x:c r="D38" s="6" t="str">
        <x:v>철근</x:v>
      </x:c>
      <x:c r="E38" s="6" t="str">
        <x:v>철근</x:v>
      </x:c>
      <x:c r="F38" s="6" t="str">
        <x:v>D13</x:v>
      </x:c>
      <x:c r="G38" s="6" t="str">
        <x:v>SD500 D13 / 부위별 공장 가공</x:v>
      </x:c>
      <x:c r="H38" s="6" t="str">
        <x:v>kg</x:v>
      </x:c>
      <x:c r="I38" s="20" t="n">
        <x:f>'원자료·매핑'!O76</x:f>
        <x:v>7510</x:v>
      </x:c>
      <x:c r="J38" s="27" t="n">
        <x:f>'원자료·매핑'!I76</x:f>
        <x:v>37</x:v>
      </x:c>
      <x:c r="K38" s="27" t="n">
        <x:f>'원자료·매핑'!J76</x:f>
        <x:v>39</x:v>
      </x:c>
      <x:c r="L38" s="27" t="n">
        <x:f>'원자료·매핑'!R76</x:f>
        <x:v>36</x:v>
      </x:c>
      <x:c r="M38" s="25" t="str">
        <x:v>미제공</x:v>
      </x:c>
      <x:c r="N38" s="25" t="n">
        <x:v>66</x:v>
      </x:c>
      <x:c r="O38" s="70" t="n">
        <x:f>'원자료·매핑'!U76</x:f>
        <x:v>0</x:v>
      </x:c>
      <x:c r="P38" s="70" t="n">
        <x:f>'원자료·매핑'!V76</x:f>
        <x:v>0</x:v>
      </x:c>
      <x:c r="Q38" s="70" t="n">
        <x:f>'원자료·매핑'!X76</x:f>
        <x:v>7510</x:v>
      </x:c>
      <x:c r="R38" s="58" t="str">
        <x:f>IF(O38=I38,"전량 불출(가상)",IF(O38&gt;0,"부분 사용·잔량 야적",IF(P38&gt;0,"반입·야적(가상)","반입 예정")))</x:f>
        <x:v>반입 예정</x:v>
      </x:c>
    </x:row>
    <x:row r="39" ht="40" customHeight="1">
      <x:c r="A39" s="24" t="n">
        <x:v>33</x:v>
      </x:c>
      <x:c r="B39" s="24" t="str">
        <x:v>112동</x:v>
      </x:c>
      <x:c r="C39" s="13" t="str">
        <x:v>보·슬래브 철근배근</x:v>
      </x:c>
      <x:c r="D39" s="13" t="str">
        <x:v>철근</x:v>
      </x:c>
      <x:c r="E39" s="13" t="str">
        <x:v>철근</x:v>
      </x:c>
      <x:c r="F39" s="13" t="str">
        <x:v>D16</x:v>
      </x:c>
      <x:c r="G39" s="13" t="str">
        <x:v>SD500 D16 / 부위별 공장 가공</x:v>
      </x:c>
      <x:c r="H39" s="13" t="str">
        <x:v>kg</x:v>
      </x:c>
      <x:c r="I39" s="19" t="n">
        <x:f>'원자료·매핑'!O77</x:f>
        <x:v>6010</x:v>
      </x:c>
      <x:c r="J39" s="26" t="n">
        <x:f>'원자료·매핑'!I77</x:f>
        <x:v>37</x:v>
      </x:c>
      <x:c r="K39" s="26" t="n">
        <x:f>'원자료·매핑'!J77</x:f>
        <x:v>39</x:v>
      </x:c>
      <x:c r="L39" s="26" t="n">
        <x:f>'원자료·매핑'!R77</x:f>
        <x:v>36</x:v>
      </x:c>
      <x:c r="M39" s="24" t="str">
        <x:v>미제공</x:v>
      </x:c>
      <x:c r="N39" s="24" t="n">
        <x:v>67</x:v>
      </x:c>
      <x:c r="O39" s="69" t="n">
        <x:f>'원자료·매핑'!U77</x:f>
        <x:v>0</x:v>
      </x:c>
      <x:c r="P39" s="69" t="n">
        <x:f>'원자료·매핑'!V77</x:f>
        <x:v>0</x:v>
      </x:c>
      <x:c r="Q39" s="69" t="n">
        <x:f>'원자료·매핑'!X77</x:f>
        <x:v>6010</x:v>
      </x:c>
      <x:c r="R39" s="62" t="str">
        <x:f>IF(O39=I39,"전량 불출(가상)",IF(O39&gt;0,"부분 사용·잔량 야적",IF(P39&gt;0,"반입·야적(가상)","반입 예정")))</x:f>
        <x:v>반입 예정</x:v>
      </x:c>
    </x:row>
    <x:row r="40" ht="40" customHeight="1">
      <x:c r="A40" s="25" t="n">
        <x:v>34</x:v>
      </x:c>
      <x:c r="B40" s="25" t="str">
        <x:v>112동</x:v>
      </x:c>
      <x:c r="C40" s="6" t="str">
        <x:v>보·슬래브 철근배근</x:v>
      </x:c>
      <x:c r="D40" s="6" t="str">
        <x:v>철근</x:v>
      </x:c>
      <x:c r="E40" s="6" t="str">
        <x:v>철근</x:v>
      </x:c>
      <x:c r="F40" s="6" t="str">
        <x:v>D19</x:v>
      </x:c>
      <x:c r="G40" s="6" t="str">
        <x:v>SD500 D19 / 부위별 공장 가공</x:v>
      </x:c>
      <x:c r="H40" s="6" t="str">
        <x:v>kg</x:v>
      </x:c>
      <x:c r="I40" s="20" t="n">
        <x:f>'원자료·매핑'!O78</x:f>
        <x:v>6010</x:v>
      </x:c>
      <x:c r="J40" s="27" t="n">
        <x:f>'원자료·매핑'!I78</x:f>
        <x:v>37</x:v>
      </x:c>
      <x:c r="K40" s="27" t="n">
        <x:f>'원자료·매핑'!J78</x:f>
        <x:v>39</x:v>
      </x:c>
      <x:c r="L40" s="27" t="n">
        <x:f>'원자료·매핑'!R78</x:f>
        <x:v>36</x:v>
      </x:c>
      <x:c r="M40" s="25" t="str">
        <x:v>미제공</x:v>
      </x:c>
      <x:c r="N40" s="25" t="n">
        <x:v>68</x:v>
      </x:c>
      <x:c r="O40" s="70" t="n">
        <x:f>'원자료·매핑'!U78</x:f>
        <x:v>0</x:v>
      </x:c>
      <x:c r="P40" s="70" t="n">
        <x:f>'원자료·매핑'!V78</x:f>
        <x:v>0</x:v>
      </x:c>
      <x:c r="Q40" s="70" t="n">
        <x:f>'원자료·매핑'!X78</x:f>
        <x:v>6010</x:v>
      </x:c>
      <x:c r="R40" s="58" t="str">
        <x:f>IF(O40=I40,"전량 불출(가상)",IF(O40&gt;0,"부분 사용·잔량 야적",IF(P40&gt;0,"반입·야적(가상)","반입 예정")))</x:f>
        <x:v>반입 예정</x:v>
      </x:c>
    </x:row>
    <x:row r="41" ht="40" customHeight="1">
      <x:c r="A41" s="24" t="n">
        <x:v>35</x:v>
      </x:c>
      <x:c r="B41" s="24" t="str">
        <x:v>112동</x:v>
      </x:c>
      <x:c r="C41" s="13" t="str">
        <x:v>보·슬래브 철근배근</x:v>
      </x:c>
      <x:c r="D41" s="13" t="str">
        <x:v>철근</x:v>
      </x:c>
      <x:c r="E41" s="13" t="str">
        <x:v>철근</x:v>
      </x:c>
      <x:c r="F41" s="13" t="str">
        <x:v>D22</x:v>
      </x:c>
      <x:c r="G41" s="13" t="str">
        <x:v>SD500 D22 / 부위별 공장 가공</x:v>
      </x:c>
      <x:c r="H41" s="13" t="str">
        <x:v>kg</x:v>
      </x:c>
      <x:c r="I41" s="19" t="n">
        <x:f>'원자료·매핑'!O79</x:f>
        <x:v>4500</x:v>
      </x:c>
      <x:c r="J41" s="26" t="n">
        <x:f>'원자료·매핑'!I79</x:f>
        <x:v>37</x:v>
      </x:c>
      <x:c r="K41" s="26" t="n">
        <x:f>'원자료·매핑'!J79</x:f>
        <x:v>39</x:v>
      </x:c>
      <x:c r="L41" s="26" t="n">
        <x:f>'원자료·매핑'!R79</x:f>
        <x:v>36</x:v>
      </x:c>
      <x:c r="M41" s="24" t="str">
        <x:v>미제공</x:v>
      </x:c>
      <x:c r="N41" s="24" t="n">
        <x:v>69</x:v>
      </x:c>
      <x:c r="O41" s="69" t="n">
        <x:f>'원자료·매핑'!U79</x:f>
        <x:v>0</x:v>
      </x:c>
      <x:c r="P41" s="69" t="n">
        <x:f>'원자료·매핑'!V79</x:f>
        <x:v>0</x:v>
      </x:c>
      <x:c r="Q41" s="69" t="n">
        <x:f>'원자료·매핑'!X79</x:f>
        <x:v>4500</x:v>
      </x:c>
      <x:c r="R41" s="62" t="str">
        <x:f>IF(O41=I41,"전량 불출(가상)",IF(O41&gt;0,"부분 사용·잔량 야적",IF(P41&gt;0,"반입·야적(가상)","반입 예정")))</x:f>
        <x:v>반입 예정</x:v>
      </x:c>
    </x:row>
    <x:row r="42" ht="40" customHeight="1">
      <x:c r="A42" s="25" t="n">
        <x:v>36</x:v>
      </x:c>
      <x:c r="B42" s="25" t="str">
        <x:v>112동</x:v>
      </x:c>
      <x:c r="C42" s="6" t="str">
        <x:v>보·슬래브 철근배근</x:v>
      </x:c>
      <x:c r="D42" s="6" t="str">
        <x:v>철근</x:v>
      </x:c>
      <x:c r="E42" s="6" t="str">
        <x:v>철근</x:v>
      </x:c>
      <x:c r="F42" s="6" t="str">
        <x:v>D25</x:v>
      </x:c>
      <x:c r="G42" s="6" t="str">
        <x:v>SD500 D25 / 부위별 공장 가공</x:v>
      </x:c>
      <x:c r="H42" s="6" t="str">
        <x:v>kg</x:v>
      </x:c>
      <x:c r="I42" s="20" t="n">
        <x:f>'원자료·매핑'!O80</x:f>
        <x:v>3010</x:v>
      </x:c>
      <x:c r="J42" s="27" t="n">
        <x:f>'원자료·매핑'!I80</x:f>
        <x:v>37</x:v>
      </x:c>
      <x:c r="K42" s="27" t="n">
        <x:f>'원자료·매핑'!J80</x:f>
        <x:v>39</x:v>
      </x:c>
      <x:c r="L42" s="27" t="n">
        <x:f>'원자료·매핑'!R80</x:f>
        <x:v>36</x:v>
      </x:c>
      <x:c r="M42" s="25" t="str">
        <x:v>미제공</x:v>
      </x:c>
      <x:c r="N42" s="25" t="n">
        <x:v>70</x:v>
      </x:c>
      <x:c r="O42" s="70" t="n">
        <x:f>'원자료·매핑'!U80</x:f>
        <x:v>0</x:v>
      </x:c>
      <x:c r="P42" s="70" t="n">
        <x:f>'원자료·매핑'!V80</x:f>
        <x:v>0</x:v>
      </x:c>
      <x:c r="Q42" s="70" t="n">
        <x:f>'원자료·매핑'!X80</x:f>
        <x:v>3010</x:v>
      </x:c>
      <x:c r="R42" s="58" t="str">
        <x:f>IF(O42=I42,"전량 불출(가상)",IF(O42&gt;0,"부분 사용·잔량 야적",IF(P42&gt;0,"반입·야적(가상)","반입 예정")))</x:f>
        <x:v>반입 예정</x:v>
      </x:c>
    </x:row>
    <x:row r="43" ht="40" customHeight="1">
      <x:c r="A43" s="24" t="n">
        <x:v>37</x:v>
      </x:c>
      <x:c r="B43" s="24" t="str">
        <x:v>104동</x:v>
      </x:c>
      <x:c r="C43" s="13" t="str">
        <x:v>벽체·기둥 철근배근</x:v>
      </x:c>
      <x:c r="D43" s="13" t="str">
        <x:v>철근</x:v>
      </x:c>
      <x:c r="E43" s="13" t="str">
        <x:v>철근</x:v>
      </x:c>
      <x:c r="F43" s="13" t="str">
        <x:v>D10</x:v>
      </x:c>
      <x:c r="G43" s="13" t="str">
        <x:v>SD500 D10 / 부위별 공장 가공</x:v>
      </x:c>
      <x:c r="H43" s="13" t="str">
        <x:v>kg</x:v>
      </x:c>
      <x:c r="I43" s="19" t="n">
        <x:f>'원자료·매핑'!O81</x:f>
        <x:v>1630</x:v>
      </x:c>
      <x:c r="J43" s="26" t="n">
        <x:f>'원자료·매핑'!I81</x:f>
        <x:v>3</x:v>
      </x:c>
      <x:c r="K43" s="26" t="n">
        <x:f>'원자료·매핑'!J81</x:f>
        <x:v>7</x:v>
      </x:c>
      <x:c r="L43" s="26" t="n">
        <x:f>'원자료·매핑'!R81</x:f>
        <x:v>2</x:v>
      </x:c>
      <x:c r="M43" s="24" t="str">
        <x:v>미제공</x:v>
      </x:c>
      <x:c r="N43" s="24" t="n">
        <x:v>71</x:v>
      </x:c>
      <x:c r="O43" s="69" t="n">
        <x:f>'원자료·매핑'!U81</x:f>
        <x:v>1630</x:v>
      </x:c>
      <x:c r="P43" s="69" t="n">
        <x:f>'원자료·매핑'!V81</x:f>
        <x:v>0</x:v>
      </x:c>
      <x:c r="Q43" s="69" t="n">
        <x:f>'원자료·매핑'!X81</x:f>
        <x:v>0</x:v>
      </x:c>
      <x:c r="R43" s="62" t="str">
        <x:f>IF(O43=I43,"전량 불출(가상)",IF(O43&gt;0,"부분 사용·잔량 야적",IF(P43&gt;0,"반입·야적(가상)","반입 예정")))</x:f>
        <x:v>전량 불출(가상)</x:v>
      </x:c>
    </x:row>
    <x:row r="44" ht="40" customHeight="1">
      <x:c r="A44" s="25" t="n">
        <x:v>38</x:v>
      </x:c>
      <x:c r="B44" s="25" t="str">
        <x:v>104동</x:v>
      </x:c>
      <x:c r="C44" s="6" t="str">
        <x:v>벽체·기둥 철근배근</x:v>
      </x:c>
      <x:c r="D44" s="6" t="str">
        <x:v>철근</x:v>
      </x:c>
      <x:c r="E44" s="6" t="str">
        <x:v>철근</x:v>
      </x:c>
      <x:c r="F44" s="6" t="str">
        <x:v>D13</x:v>
      </x:c>
      <x:c r="G44" s="6" t="str">
        <x:v>SD500 D13 / 부위별 공장 가공</x:v>
      </x:c>
      <x:c r="H44" s="6" t="str">
        <x:v>kg</x:v>
      </x:c>
      <x:c r="I44" s="20" t="n">
        <x:f>'원자료·매핑'!O82</x:f>
        <x:v>2440</x:v>
      </x:c>
      <x:c r="J44" s="27" t="n">
        <x:f>'원자료·매핑'!I82</x:f>
        <x:v>3</x:v>
      </x:c>
      <x:c r="K44" s="27" t="n">
        <x:f>'원자료·매핑'!J82</x:f>
        <x:v>7</x:v>
      </x:c>
      <x:c r="L44" s="27" t="n">
        <x:f>'원자료·매핑'!R82</x:f>
        <x:v>2</x:v>
      </x:c>
      <x:c r="M44" s="25" t="str">
        <x:v>미제공</x:v>
      </x:c>
      <x:c r="N44" s="25" t="n">
        <x:v>72</x:v>
      </x:c>
      <x:c r="O44" s="70" t="n">
        <x:f>'원자료·매핑'!U82</x:f>
        <x:v>2440</x:v>
      </x:c>
      <x:c r="P44" s="70" t="n">
        <x:f>'원자료·매핑'!V82</x:f>
        <x:v>0</x:v>
      </x:c>
      <x:c r="Q44" s="70" t="n">
        <x:f>'원자료·매핑'!X82</x:f>
        <x:v>0</x:v>
      </x:c>
      <x:c r="R44" s="58" t="str">
        <x:f>IF(O44=I44,"전량 불출(가상)",IF(O44&gt;0,"부분 사용·잔량 야적",IF(P44&gt;0,"반입·야적(가상)","반입 예정")))</x:f>
        <x:v>전량 불출(가상)</x:v>
      </x:c>
    </x:row>
    <x:row r="45" ht="40" customHeight="1">
      <x:c r="A45" s="24" t="n">
        <x:v>39</x:v>
      </x:c>
      <x:c r="B45" s="24" t="str">
        <x:v>104동</x:v>
      </x:c>
      <x:c r="C45" s="13" t="str">
        <x:v>벽체·기둥 철근배근</x:v>
      </x:c>
      <x:c r="D45" s="13" t="str">
        <x:v>철근</x:v>
      </x:c>
      <x:c r="E45" s="13" t="str">
        <x:v>철근</x:v>
      </x:c>
      <x:c r="F45" s="13" t="str">
        <x:v>D16</x:v>
      </x:c>
      <x:c r="G45" s="13" t="str">
        <x:v>SD500 D16 / 부위별 공장 가공</x:v>
      </x:c>
      <x:c r="H45" s="13" t="str">
        <x:v>kg</x:v>
      </x:c>
      <x:c r="I45" s="19" t="n">
        <x:f>'원자료·매핑'!O83</x:f>
        <x:v>3040</x:v>
      </x:c>
      <x:c r="J45" s="26" t="n">
        <x:f>'원자료·매핑'!I83</x:f>
        <x:v>3</x:v>
      </x:c>
      <x:c r="K45" s="26" t="n">
        <x:f>'원자료·매핑'!J83</x:f>
        <x:v>7</x:v>
      </x:c>
      <x:c r="L45" s="26" t="n">
        <x:f>'원자료·매핑'!R83</x:f>
        <x:v>2</x:v>
      </x:c>
      <x:c r="M45" s="24" t="str">
        <x:v>미제공</x:v>
      </x:c>
      <x:c r="N45" s="24" t="n">
        <x:v>73</x:v>
      </x:c>
      <x:c r="O45" s="69" t="n">
        <x:f>'원자료·매핑'!U83</x:f>
        <x:v>3040</x:v>
      </x:c>
      <x:c r="P45" s="69" t="n">
        <x:f>'원자료·매핑'!V83</x:f>
        <x:v>0</x:v>
      </x:c>
      <x:c r="Q45" s="69" t="n">
        <x:f>'원자료·매핑'!X83</x:f>
        <x:v>0</x:v>
      </x:c>
      <x:c r="R45" s="62" t="str">
        <x:f>IF(O45=I45,"전량 불출(가상)",IF(O45&gt;0,"부분 사용·잔량 야적",IF(P45&gt;0,"반입·야적(가상)","반입 예정")))</x:f>
        <x:v>전량 불출(가상)</x:v>
      </x:c>
    </x:row>
    <x:row r="46" ht="40" customHeight="1">
      <x:c r="A46" s="25" t="n">
        <x:v>40</x:v>
      </x:c>
      <x:c r="B46" s="25" t="str">
        <x:v>104동</x:v>
      </x:c>
      <x:c r="C46" s="6" t="str">
        <x:v>벽체·기둥 철근배근</x:v>
      </x:c>
      <x:c r="D46" s="6" t="str">
        <x:v>철근</x:v>
      </x:c>
      <x:c r="E46" s="6" t="str">
        <x:v>철근</x:v>
      </x:c>
      <x:c r="F46" s="6" t="str">
        <x:v>D19</x:v>
      </x:c>
      <x:c r="G46" s="6" t="str">
        <x:v>SD500 D19 / 부위별 공장 가공</x:v>
      </x:c>
      <x:c r="H46" s="6" t="str">
        <x:v>kg</x:v>
      </x:c>
      <x:c r="I46" s="20" t="n">
        <x:f>'원자료·매핑'!O84</x:f>
        <x:v>3040</x:v>
      </x:c>
      <x:c r="J46" s="27" t="n">
        <x:f>'원자료·매핑'!I84</x:f>
        <x:v>3</x:v>
      </x:c>
      <x:c r="K46" s="27" t="n">
        <x:f>'원자료·매핑'!J84</x:f>
        <x:v>7</x:v>
      </x:c>
      <x:c r="L46" s="27" t="n">
        <x:f>'원자료·매핑'!R84</x:f>
        <x:v>2</x:v>
      </x:c>
      <x:c r="M46" s="25" t="str">
        <x:v>미제공</x:v>
      </x:c>
      <x:c r="N46" s="25" t="n">
        <x:v>74</x:v>
      </x:c>
      <x:c r="O46" s="70" t="n">
        <x:f>'원자료·매핑'!U84</x:f>
        <x:v>3040</x:v>
      </x:c>
      <x:c r="P46" s="70" t="n">
        <x:f>'원자료·매핑'!V84</x:f>
        <x:v>0</x:v>
      </x:c>
      <x:c r="Q46" s="70" t="n">
        <x:f>'원자료·매핑'!X84</x:f>
        <x:v>0</x:v>
      </x:c>
      <x:c r="R46" s="58" t="str">
        <x:f>IF(O46=I46,"전량 불출(가상)",IF(O46&gt;0,"부분 사용·잔량 야적",IF(P46&gt;0,"반입·야적(가상)","반입 예정")))</x:f>
        <x:v>전량 불출(가상)</x:v>
      </x:c>
    </x:row>
    <x:row r="47" ht="40" customHeight="1">
      <x:c r="A47" s="24" t="n">
        <x:v>41</x:v>
      </x:c>
      <x:c r="B47" s="24" t="str">
        <x:v>104동</x:v>
      </x:c>
      <x:c r="C47" s="13" t="str">
        <x:v>벽체·기둥 철근배근</x:v>
      </x:c>
      <x:c r="D47" s="13" t="str">
        <x:v>철근</x:v>
      </x:c>
      <x:c r="E47" s="13" t="str">
        <x:v>철근</x:v>
      </x:c>
      <x:c r="F47" s="13" t="str">
        <x:v>D22</x:v>
      </x:c>
      <x:c r="G47" s="13" t="str">
        <x:v>SD500 D22 / 부위별 공장 가공</x:v>
      </x:c>
      <x:c r="H47" s="13" t="str">
        <x:v>kg</x:v>
      </x:c>
      <x:c r="I47" s="19" t="n">
        <x:f>'원자료·매핑'!O85</x:f>
        <x:v>4060</x:v>
      </x:c>
      <x:c r="J47" s="26" t="n">
        <x:f>'원자료·매핑'!I85</x:f>
        <x:v>3</x:v>
      </x:c>
      <x:c r="K47" s="26" t="n">
        <x:f>'원자료·매핑'!J85</x:f>
        <x:v>7</x:v>
      </x:c>
      <x:c r="L47" s="26" t="n">
        <x:f>'원자료·매핑'!R85</x:f>
        <x:v>2</x:v>
      </x:c>
      <x:c r="M47" s="24" t="str">
        <x:v>미제공</x:v>
      </x:c>
      <x:c r="N47" s="24" t="n">
        <x:v>75</x:v>
      </x:c>
      <x:c r="O47" s="69" t="n">
        <x:f>'원자료·매핑'!U85</x:f>
        <x:v>4060</x:v>
      </x:c>
      <x:c r="P47" s="69" t="n">
        <x:f>'원자료·매핑'!V85</x:f>
        <x:v>0</x:v>
      </x:c>
      <x:c r="Q47" s="69" t="n">
        <x:f>'원자료·매핑'!X85</x:f>
        <x:v>0</x:v>
      </x:c>
      <x:c r="R47" s="62" t="str">
        <x:f>IF(O47=I47,"전량 불출(가상)",IF(O47&gt;0,"부분 사용·잔량 야적",IF(P47&gt;0,"반입·야적(가상)","반입 예정")))</x:f>
        <x:v>전량 불출(가상)</x:v>
      </x:c>
    </x:row>
    <x:row r="48" ht="40" customHeight="1">
      <x:c r="A48" s="25" t="n">
        <x:v>42</x:v>
      </x:c>
      <x:c r="B48" s="25" t="str">
        <x:v>104동</x:v>
      </x:c>
      <x:c r="C48" s="6" t="str">
        <x:v>벽체·기둥 철근배근</x:v>
      </x:c>
      <x:c r="D48" s="6" t="str">
        <x:v>철근</x:v>
      </x:c>
      <x:c r="E48" s="6" t="str">
        <x:v>철근</x:v>
      </x:c>
      <x:c r="F48" s="6" t="str">
        <x:v>D25</x:v>
      </x:c>
      <x:c r="G48" s="6" t="str">
        <x:v>SD500 D25 / 부위별 공장 가공</x:v>
      </x:c>
      <x:c r="H48" s="6" t="str">
        <x:v>kg</x:v>
      </x:c>
      <x:c r="I48" s="20" t="n">
        <x:f>'원자료·매핑'!O86</x:f>
        <x:v>6080</x:v>
      </x:c>
      <x:c r="J48" s="27" t="n">
        <x:f>'원자료·매핑'!I86</x:f>
        <x:v>3</x:v>
      </x:c>
      <x:c r="K48" s="27" t="n">
        <x:f>'원자료·매핑'!J86</x:f>
        <x:v>7</x:v>
      </x:c>
      <x:c r="L48" s="27" t="n">
        <x:f>'원자료·매핑'!R86</x:f>
        <x:v>2</x:v>
      </x:c>
      <x:c r="M48" s="25" t="str">
        <x:v>미제공</x:v>
      </x:c>
      <x:c r="N48" s="25" t="n">
        <x:v>76</x:v>
      </x:c>
      <x:c r="O48" s="70" t="n">
        <x:f>'원자료·매핑'!U86</x:f>
        <x:v>6080</x:v>
      </x:c>
      <x:c r="P48" s="70" t="n">
        <x:f>'원자료·매핑'!V86</x:f>
        <x:v>0</x:v>
      </x:c>
      <x:c r="Q48" s="70" t="n">
        <x:f>'원자료·매핑'!X86</x:f>
        <x:v>0</x:v>
      </x:c>
      <x:c r="R48" s="58" t="str">
        <x:f>IF(O48=I48,"전량 불출(가상)",IF(O48&gt;0,"부분 사용·잔량 야적",IF(P48&gt;0,"반입·야적(가상)","반입 예정")))</x:f>
        <x:v>전량 불출(가상)</x:v>
      </x:c>
    </x:row>
    <x:row r="49" ht="40" customHeight="1">
      <x:c r="A49" s="24" t="n">
        <x:v>43</x:v>
      </x:c>
      <x:c r="B49" s="24" t="str">
        <x:v>104동</x:v>
      </x:c>
      <x:c r="C49" s="13" t="str">
        <x:v>수직부 거푸집 설치</x:v>
      </x:c>
      <x:c r="D49" s="13" t="str">
        <x:v>거푸집</x:v>
      </x:c>
      <x:c r="E49" s="13" t="str">
        <x:v>유로폼</x:v>
      </x:c>
      <x:c r="F49" s="13" t="str">
        <x:v>500x1200</x:v>
      </x:c>
      <x:c r="G49" s="13" t="str">
        <x:v>500×1,200mm</x:v>
      </x:c>
      <x:c r="H49" s="13" t="str">
        <x:v>장</x:v>
      </x:c>
      <x:c r="I49" s="19" t="n">
        <x:f>'원자료·매핑'!O87</x:f>
        <x:v>822</x:v>
      </x:c>
      <x:c r="J49" s="26" t="n">
        <x:f>'원자료·매핑'!I87</x:f>
        <x:v>8</x:v>
      </x:c>
      <x:c r="K49" s="26" t="n">
        <x:f>'원자료·매핑'!J87</x:f>
        <x:v>14</x:v>
      </x:c>
      <x:c r="L49" s="26" t="n">
        <x:f>'원자료·매핑'!R87</x:f>
        <x:v>7</x:v>
      </x:c>
      <x:c r="M49" s="24" t="str">
        <x:v>해당 없음</x:v>
      </x:c>
      <x:c r="N49" s="24" t="n">
        <x:v>77</x:v>
      </x:c>
      <x:c r="O49" s="69" t="n">
        <x:f>'원자료·매핑'!U87</x:f>
        <x:v>352</x:v>
      </x:c>
      <x:c r="P49" s="69" t="n">
        <x:f>'원자료·매핑'!V87</x:f>
        <x:v>470</x:v>
      </x:c>
      <x:c r="Q49" s="69" t="n">
        <x:f>'원자료·매핑'!X87</x:f>
        <x:v>470</x:v>
      </x:c>
      <x:c r="R49" s="62" t="str">
        <x:f>IF(O49=I49,"전량 불출(가상)",IF(O49&gt;0,"부분 사용·잔량 야적",IF(P49&gt;0,"반입·야적(가상)","반입 예정")))</x:f>
        <x:v>부분 사용·잔량 야적</x:v>
      </x:c>
    </x:row>
    <x:row r="50" ht="40" customHeight="1">
      <x:c r="A50" s="25" t="n">
        <x:v>44</x:v>
      </x:c>
      <x:c r="B50" s="25" t="str">
        <x:v>104동</x:v>
      </x:c>
      <x:c r="C50" s="6" t="str">
        <x:v>수직부 거푸집 설치</x:v>
      </x:c>
      <x:c r="D50" s="6" t="str">
        <x:v>거푸집</x:v>
      </x:c>
      <x:c r="E50" s="6" t="str">
        <x:v>유로폼</x:v>
      </x:c>
      <x:c r="F50" s="6" t="str">
        <x:v>600x1200</x:v>
      </x:c>
      <x:c r="G50" s="6" t="str">
        <x:v>600×1,200mm</x:v>
      </x:c>
      <x:c r="H50" s="6" t="str">
        <x:v>장</x:v>
      </x:c>
      <x:c r="I50" s="20" t="n">
        <x:f>'원자료·매핑'!O88</x:f>
        <x:v>286</x:v>
      </x:c>
      <x:c r="J50" s="27" t="n">
        <x:f>'원자료·매핑'!I88</x:f>
        <x:v>8</x:v>
      </x:c>
      <x:c r="K50" s="27" t="n">
        <x:f>'원자료·매핑'!J88</x:f>
        <x:v>14</x:v>
      </x:c>
      <x:c r="L50" s="27" t="n">
        <x:f>'원자료·매핑'!R88</x:f>
        <x:v>7</x:v>
      </x:c>
      <x:c r="M50" s="25" t="str">
        <x:v>해당 없음</x:v>
      </x:c>
      <x:c r="N50" s="25" t="n">
        <x:v>78</x:v>
      </x:c>
      <x:c r="O50" s="70" t="n">
        <x:f>'원자료·매핑'!U88</x:f>
        <x:v>123</x:v>
      </x:c>
      <x:c r="P50" s="70" t="n">
        <x:f>'원자료·매핑'!V88</x:f>
        <x:v>163</x:v>
      </x:c>
      <x:c r="Q50" s="70" t="n">
        <x:f>'원자료·매핑'!X88</x:f>
        <x:v>163</x:v>
      </x:c>
      <x:c r="R50" s="58" t="str">
        <x:f>IF(O50=I50,"전량 불출(가상)",IF(O50&gt;0,"부분 사용·잔량 야적",IF(P50&gt;0,"반입·야적(가상)","반입 예정")))</x:f>
        <x:v>부분 사용·잔량 야적</x:v>
      </x:c>
    </x:row>
    <x:row r="51" ht="40" customHeight="1">
      <x:c r="A51" s="24" t="n">
        <x:v>45</x:v>
      </x:c>
      <x:c r="B51" s="24" t="str">
        <x:v>104동</x:v>
      </x:c>
      <x:c r="C51" s="13" t="str">
        <x:v>수직부 거푸집 설치</x:v>
      </x:c>
      <x:c r="D51" s="13" t="str">
        <x:v>거푸집</x:v>
      </x:c>
      <x:c r="E51" s="13" t="str">
        <x:v>유로폼</x:v>
      </x:c>
      <x:c r="F51" s="13" t="str">
        <x:v>300x1200</x:v>
      </x:c>
      <x:c r="G51" s="13" t="str">
        <x:v>300×1,200mm</x:v>
      </x:c>
      <x:c r="H51" s="13" t="str">
        <x:v>장</x:v>
      </x:c>
      <x:c r="I51" s="19" t="n">
        <x:f>'원자료·매핑'!O89</x:f>
        <x:v>229</x:v>
      </x:c>
      <x:c r="J51" s="26" t="n">
        <x:f>'원자료·매핑'!I89</x:f>
        <x:v>8</x:v>
      </x:c>
      <x:c r="K51" s="26" t="n">
        <x:f>'원자료·매핑'!J89</x:f>
        <x:v>14</x:v>
      </x:c>
      <x:c r="L51" s="26" t="n">
        <x:f>'원자료·매핑'!R89</x:f>
        <x:v>7</x:v>
      </x:c>
      <x:c r="M51" s="24" t="str">
        <x:v>해당 없음</x:v>
      </x:c>
      <x:c r="N51" s="24" t="n">
        <x:v>79</x:v>
      </x:c>
      <x:c r="O51" s="69" t="n">
        <x:f>'원자료·매핑'!U89</x:f>
        <x:v>98</x:v>
      </x:c>
      <x:c r="P51" s="69" t="n">
        <x:f>'원자료·매핑'!V89</x:f>
        <x:v>131</x:v>
      </x:c>
      <x:c r="Q51" s="69" t="n">
        <x:f>'원자료·매핑'!X89</x:f>
        <x:v>131</x:v>
      </x:c>
      <x:c r="R51" s="62" t="str">
        <x:f>IF(O51=I51,"전량 불출(가상)",IF(O51&gt;0,"부분 사용·잔량 야적",IF(P51&gt;0,"반입·야적(가상)","반입 예정")))</x:f>
        <x:v>부분 사용·잔량 야적</x:v>
      </x:c>
    </x:row>
    <x:row r="52" ht="40" customHeight="1">
      <x:c r="A52" s="25" t="n">
        <x:v>46</x:v>
      </x:c>
      <x:c r="B52" s="25" t="str">
        <x:v>104동</x:v>
      </x:c>
      <x:c r="C52" s="6" t="str">
        <x:v>시스템동바리 조립</x:v>
      </x:c>
      <x:c r="D52" s="6" t="str">
        <x:v>시스템동바리</x:v>
      </x:c>
      <x:c r="E52" s="6" t="str">
        <x:v>시스템서포트</x:v>
      </x:c>
      <x:c r="F52" s="6" t="str">
        <x:v>동바리 상부자키</x:v>
      </x:c>
      <x:c r="G52" s="6" t="str">
        <x:v>Ø45 / L=600mm</x:v>
      </x:c>
      <x:c r="H52" s="6" t="str">
        <x:v>개</x:v>
      </x:c>
      <x:c r="I52" s="20" t="n">
        <x:f>'원자료·매핑'!O101</x:f>
        <x:v>546</x:v>
      </x:c>
      <x:c r="J52" s="27" t="n">
        <x:f>'원자료·매핑'!I101</x:f>
        <x:v>15</x:v>
      </x:c>
      <x:c r="K52" s="27" t="n">
        <x:f>'원자료·매핑'!J101</x:f>
        <x:v>17</x:v>
      </x:c>
      <x:c r="L52" s="27" t="n">
        <x:f>'원자료·매핑'!R101</x:f>
        <x:v>9</x:v>
      </x:c>
      <x:c r="M52" s="25" t="str">
        <x:v>해당 없음</x:v>
      </x:c>
      <x:c r="N52" s="25" t="n">
        <x:v>91</x:v>
      </x:c>
      <x:c r="O52" s="70" t="n">
        <x:f>'원자료·매핑'!U101</x:f>
        <x:v>0</x:v>
      </x:c>
      <x:c r="P52" s="70" t="n">
        <x:f>'원자료·매핑'!V101</x:f>
        <x:v>546</x:v>
      </x:c>
      <x:c r="Q52" s="70" t="n">
        <x:f>'원자료·매핑'!X101</x:f>
        <x:v>546</x:v>
      </x:c>
      <x:c r="R52" s="58" t="str">
        <x:f>IF(O52=I52,"전량 불출(가상)",IF(O52&gt;0,"부분 사용·잔량 야적",IF(P52&gt;0,"반입·야적(가상)","반입 예정")))</x:f>
        <x:v>반입·야적(가상)</x:v>
      </x:c>
    </x:row>
    <x:row r="53" ht="40" customHeight="1">
      <x:c r="A53" s="24" t="n">
        <x:v>47</x:v>
      </x:c>
      <x:c r="B53" s="24" t="str">
        <x:v>104동</x:v>
      </x:c>
      <x:c r="C53" s="13" t="str">
        <x:v>시스템동바리 조립</x:v>
      </x:c>
      <x:c r="D53" s="13" t="str">
        <x:v>시스템동바리</x:v>
      </x:c>
      <x:c r="E53" s="13" t="str">
        <x:v>시스템서포트</x:v>
      </x:c>
      <x:c r="F53" s="13" t="str">
        <x:v>동바리 하부자키</x:v>
      </x:c>
      <x:c r="G53" s="13" t="str">
        <x:v>Ø45 / L=600mm</x:v>
      </x:c>
      <x:c r="H53" s="13" t="str">
        <x:v>개</x:v>
      </x:c>
      <x:c r="I53" s="19" t="n">
        <x:f>'원자료·매핑'!O102</x:f>
        <x:v>546</x:v>
      </x:c>
      <x:c r="J53" s="26" t="n">
        <x:f>'원자료·매핑'!I102</x:f>
        <x:v>15</x:v>
      </x:c>
      <x:c r="K53" s="26" t="n">
        <x:f>'원자료·매핑'!J102</x:f>
        <x:v>17</x:v>
      </x:c>
      <x:c r="L53" s="26" t="n">
        <x:f>'원자료·매핑'!R102</x:f>
        <x:v>9</x:v>
      </x:c>
      <x:c r="M53" s="24" t="str">
        <x:v>해당 없음</x:v>
      </x:c>
      <x:c r="N53" s="24" t="n">
        <x:v>92</x:v>
      </x:c>
      <x:c r="O53" s="69" t="n">
        <x:f>'원자료·매핑'!U102</x:f>
        <x:v>0</x:v>
      </x:c>
      <x:c r="P53" s="69" t="n">
        <x:f>'원자료·매핑'!V102</x:f>
        <x:v>546</x:v>
      </x:c>
      <x:c r="Q53" s="69" t="n">
        <x:f>'원자료·매핑'!X102</x:f>
        <x:v>546</x:v>
      </x:c>
      <x:c r="R53" s="62" t="str">
        <x:f>IF(O53=I53,"전량 불출(가상)",IF(O53&gt;0,"부분 사용·잔량 야적",IF(P53&gt;0,"반입·야적(가상)","반입 예정")))</x:f>
        <x:v>반입·야적(가상)</x:v>
      </x:c>
    </x:row>
    <x:row r="54" ht="40" customHeight="1">
      <x:c r="A54" s="25" t="n">
        <x:v>48</x:v>
      </x:c>
      <x:c r="B54" s="25" t="str">
        <x:v>104동</x:v>
      </x:c>
      <x:c r="C54" s="6" t="str">
        <x:v>시스템동바리 조립</x:v>
      </x:c>
      <x:c r="D54" s="6" t="str">
        <x:v>시스템동바리</x:v>
      </x:c>
      <x:c r="E54" s="6" t="str">
        <x:v>시스템서포트</x:v>
      </x:c>
      <x:c r="F54" s="6" t="str">
        <x:v>카플링(소켓)</x:v>
      </x:c>
      <x:c r="G54" s="6" t="str">
        <x:v>Ø60.5 / L=120mm</x:v>
      </x:c>
      <x:c r="H54" s="6" t="str">
        <x:v>개</x:v>
      </x:c>
      <x:c r="I54" s="20" t="n">
        <x:f>'원자료·매핑'!O103</x:f>
        <x:v>1092</x:v>
      </x:c>
      <x:c r="J54" s="27" t="n">
        <x:f>'원자료·매핑'!I103</x:f>
        <x:v>15</x:v>
      </x:c>
      <x:c r="K54" s="27" t="n">
        <x:f>'원자료·매핑'!J103</x:f>
        <x:v>17</x:v>
      </x:c>
      <x:c r="L54" s="27" t="n">
        <x:f>'원자료·매핑'!R103</x:f>
        <x:v>9</x:v>
      </x:c>
      <x:c r="M54" s="25" t="str">
        <x:v>해당 없음</x:v>
      </x:c>
      <x:c r="N54" s="25" t="n">
        <x:v>93</x:v>
      </x:c>
      <x:c r="O54" s="70" t="n">
        <x:f>'원자료·매핑'!U103</x:f>
        <x:v>0</x:v>
      </x:c>
      <x:c r="P54" s="70" t="n">
        <x:f>'원자료·매핑'!V103</x:f>
        <x:v>1092</x:v>
      </x:c>
      <x:c r="Q54" s="70" t="n">
        <x:f>'원자료·매핑'!X103</x:f>
        <x:v>1092</x:v>
      </x:c>
      <x:c r="R54" s="58" t="str">
        <x:f>IF(O54=I54,"전량 불출(가상)",IF(O54&gt;0,"부분 사용·잔량 야적",IF(P54&gt;0,"반입·야적(가상)","반입 예정")))</x:f>
        <x:v>반입·야적(가상)</x:v>
      </x:c>
    </x:row>
    <x:row r="55" ht="40" customHeight="1">
      <x:c r="A55" s="24" t="n">
        <x:v>49</x:v>
      </x:c>
      <x:c r="B55" s="24" t="str">
        <x:v>104동</x:v>
      </x:c>
      <x:c r="C55" s="13" t="str">
        <x:v>보·슬래브 철근배근</x:v>
      </x:c>
      <x:c r="D55" s="13" t="str">
        <x:v>철근</x:v>
      </x:c>
      <x:c r="E55" s="13" t="str">
        <x:v>철근</x:v>
      </x:c>
      <x:c r="F55" s="13" t="str">
        <x:v>D10</x:v>
      </x:c>
      <x:c r="G55" s="13" t="str">
        <x:v>SD500 D10 / 부위별 공장 가공</x:v>
      </x:c>
      <x:c r="H55" s="13" t="str">
        <x:v>kg</x:v>
      </x:c>
      <x:c r="I55" s="19" t="n">
        <x:f>'원자료·매핑'!O107</x:f>
        <x:v>2770</x:v>
      </x:c>
      <x:c r="J55" s="26" t="n">
        <x:f>'원자료·매핑'!I107</x:f>
        <x:v>22</x:v>
      </x:c>
      <x:c r="K55" s="26" t="n">
        <x:f>'원자료·매핑'!J107</x:f>
        <x:v>24</x:v>
      </x:c>
      <x:c r="L55" s="26" t="n">
        <x:f>'원자료·매핑'!R107</x:f>
        <x:v>10</x:v>
      </x:c>
      <x:c r="M55" s="24" t="str">
        <x:v>미제공</x:v>
      </x:c>
      <x:c r="N55" s="24" t="n">
        <x:v>97</x:v>
      </x:c>
      <x:c r="O55" s="69" t="n">
        <x:f>'원자료·매핑'!U107</x:f>
        <x:v>0</x:v>
      </x:c>
      <x:c r="P55" s="69" t="n">
        <x:f>'원자료·매핑'!V107</x:f>
        <x:v>2770</x:v>
      </x:c>
      <x:c r="Q55" s="69" t="n">
        <x:f>'원자료·매핑'!X107</x:f>
        <x:v>2770</x:v>
      </x:c>
      <x:c r="R55" s="62" t="str">
        <x:f>IF(O55=I55,"전량 불출(가상)",IF(O55&gt;0,"부분 사용·잔량 야적",IF(P55&gt;0,"반입·야적(가상)","반입 예정")))</x:f>
        <x:v>반입·야적(가상)</x:v>
      </x:c>
    </x:row>
    <x:row r="56" ht="40" customHeight="1">
      <x:c r="A56" s="25" t="n">
        <x:v>50</x:v>
      </x:c>
      <x:c r="B56" s="25" t="str">
        <x:v>104동</x:v>
      </x:c>
      <x:c r="C56" s="6" t="str">
        <x:v>보·슬래브 철근배근</x:v>
      </x:c>
      <x:c r="D56" s="6" t="str">
        <x:v>철근</x:v>
      </x:c>
      <x:c r="E56" s="6" t="str">
        <x:v>철근</x:v>
      </x:c>
      <x:c r="F56" s="6" t="str">
        <x:v>D13</x:v>
      </x:c>
      <x:c r="G56" s="6" t="str">
        <x:v>SD500 D13 / 부위별 공장 가공</x:v>
      </x:c>
      <x:c r="H56" s="6" t="str">
        <x:v>kg</x:v>
      </x:c>
      <x:c r="I56" s="20" t="n">
        <x:f>'원자료·매핑'!O108</x:f>
        <x:v>6910</x:v>
      </x:c>
      <x:c r="J56" s="27" t="n">
        <x:f>'원자료·매핑'!I108</x:f>
        <x:v>22</x:v>
      </x:c>
      <x:c r="K56" s="27" t="n">
        <x:f>'원자료·매핑'!J108</x:f>
        <x:v>24</x:v>
      </x:c>
      <x:c r="L56" s="27" t="n">
        <x:f>'원자료·매핑'!R108</x:f>
        <x:v>10</x:v>
      </x:c>
      <x:c r="M56" s="25" t="str">
        <x:v>미제공</x:v>
      </x:c>
      <x:c r="N56" s="25" t="n">
        <x:v>98</x:v>
      </x:c>
      <x:c r="O56" s="70" t="n">
        <x:f>'원자료·매핑'!U108</x:f>
        <x:v>0</x:v>
      </x:c>
      <x:c r="P56" s="70" t="n">
        <x:f>'원자료·매핑'!V108</x:f>
        <x:v>6910</x:v>
      </x:c>
      <x:c r="Q56" s="70" t="n">
        <x:f>'원자료·매핑'!X108</x:f>
        <x:v>6910</x:v>
      </x:c>
      <x:c r="R56" s="58" t="str">
        <x:f>IF(O56=I56,"전량 불출(가상)",IF(O56&gt;0,"부분 사용·잔량 야적",IF(P56&gt;0,"반입·야적(가상)","반입 예정")))</x:f>
        <x:v>반입·야적(가상)</x:v>
      </x:c>
    </x:row>
    <x:row r="57" ht="40" customHeight="1">
      <x:c r="A57" s="24" t="n">
        <x:v>51</x:v>
      </x:c>
      <x:c r="B57" s="24" t="str">
        <x:v>104동</x:v>
      </x:c>
      <x:c r="C57" s="13" t="str">
        <x:v>보·슬래브 철근배근</x:v>
      </x:c>
      <x:c r="D57" s="13" t="str">
        <x:v>철근</x:v>
      </x:c>
      <x:c r="E57" s="13" t="str">
        <x:v>철근</x:v>
      </x:c>
      <x:c r="F57" s="13" t="str">
        <x:v>D16</x:v>
      </x:c>
      <x:c r="G57" s="13" t="str">
        <x:v>SD500 D16 / 부위별 공장 가공</x:v>
      </x:c>
      <x:c r="H57" s="13" t="str">
        <x:v>kg</x:v>
      </x:c>
      <x:c r="I57" s="19" t="n">
        <x:f>'원자료·매핑'!O109</x:f>
        <x:v>5530</x:v>
      </x:c>
      <x:c r="J57" s="26" t="n">
        <x:f>'원자료·매핑'!I109</x:f>
        <x:v>22</x:v>
      </x:c>
      <x:c r="K57" s="26" t="n">
        <x:f>'원자료·매핑'!J109</x:f>
        <x:v>24</x:v>
      </x:c>
      <x:c r="L57" s="26" t="n">
        <x:f>'원자료·매핑'!R109</x:f>
        <x:v>10</x:v>
      </x:c>
      <x:c r="M57" s="24" t="str">
        <x:v>미제공</x:v>
      </x:c>
      <x:c r="N57" s="24" t="n">
        <x:v>99</x:v>
      </x:c>
      <x:c r="O57" s="69" t="n">
        <x:f>'원자료·매핑'!U109</x:f>
        <x:v>0</x:v>
      </x:c>
      <x:c r="P57" s="69" t="n">
        <x:f>'원자료·매핑'!V109</x:f>
        <x:v>5530</x:v>
      </x:c>
      <x:c r="Q57" s="69" t="n">
        <x:f>'원자료·매핑'!X109</x:f>
        <x:v>5530</x:v>
      </x:c>
      <x:c r="R57" s="62" t="str">
        <x:f>IF(O57=I57,"전량 불출(가상)",IF(O57&gt;0,"부분 사용·잔량 야적",IF(P57&gt;0,"반입·야적(가상)","반입 예정")))</x:f>
        <x:v>반입·야적(가상)</x:v>
      </x:c>
    </x:row>
    <x:row r="58" ht="40" customHeight="1">
      <x:c r="A58" s="25" t="n">
        <x:v>52</x:v>
      </x:c>
      <x:c r="B58" s="25" t="str">
        <x:v>104동</x:v>
      </x:c>
      <x:c r="C58" s="6" t="str">
        <x:v>보·슬래브 철근배근</x:v>
      </x:c>
      <x:c r="D58" s="6" t="str">
        <x:v>철근</x:v>
      </x:c>
      <x:c r="E58" s="6" t="str">
        <x:v>철근</x:v>
      </x:c>
      <x:c r="F58" s="6" t="str">
        <x:v>D19</x:v>
      </x:c>
      <x:c r="G58" s="6" t="str">
        <x:v>SD500 D19 / 부위별 공장 가공</x:v>
      </x:c>
      <x:c r="H58" s="6" t="str">
        <x:v>kg</x:v>
      </x:c>
      <x:c r="I58" s="20" t="n">
        <x:f>'원자료·매핑'!O110</x:f>
        <x:v>5530</x:v>
      </x:c>
      <x:c r="J58" s="27" t="n">
        <x:f>'원자료·매핑'!I110</x:f>
        <x:v>22</x:v>
      </x:c>
      <x:c r="K58" s="27" t="n">
        <x:f>'원자료·매핑'!J110</x:f>
        <x:v>24</x:v>
      </x:c>
      <x:c r="L58" s="27" t="n">
        <x:f>'원자료·매핑'!R110</x:f>
        <x:v>10</x:v>
      </x:c>
      <x:c r="M58" s="25" t="str">
        <x:v>미제공</x:v>
      </x:c>
      <x:c r="N58" s="25" t="n">
        <x:v>100</x:v>
      </x:c>
      <x:c r="O58" s="70" t="n">
        <x:f>'원자료·매핑'!U110</x:f>
        <x:v>0</x:v>
      </x:c>
      <x:c r="P58" s="70" t="n">
        <x:f>'원자료·매핑'!V110</x:f>
        <x:v>5530</x:v>
      </x:c>
      <x:c r="Q58" s="70" t="n">
        <x:f>'원자료·매핑'!X110</x:f>
        <x:v>5530</x:v>
      </x:c>
      <x:c r="R58" s="58" t="str">
        <x:f>IF(O58=I58,"전량 불출(가상)",IF(O58&gt;0,"부분 사용·잔량 야적",IF(P58&gt;0,"반입·야적(가상)","반입 예정")))</x:f>
        <x:v>반입·야적(가상)</x:v>
      </x:c>
    </x:row>
    <x:row r="59" ht="40" customHeight="1">
      <x:c r="A59" s="24" t="n">
        <x:v>53</x:v>
      </x:c>
      <x:c r="B59" s="24" t="str">
        <x:v>104동</x:v>
      </x:c>
      <x:c r="C59" s="13" t="str">
        <x:v>보·슬래브 철근배근</x:v>
      </x:c>
      <x:c r="D59" s="13" t="str">
        <x:v>철근</x:v>
      </x:c>
      <x:c r="E59" s="13" t="str">
        <x:v>철근</x:v>
      </x:c>
      <x:c r="F59" s="13" t="str">
        <x:v>D22</x:v>
      </x:c>
      <x:c r="G59" s="13" t="str">
        <x:v>SD500 D22 / 부위별 공장 가공</x:v>
      </x:c>
      <x:c r="H59" s="13" t="str">
        <x:v>kg</x:v>
      </x:c>
      <x:c r="I59" s="19" t="n">
        <x:f>'원자료·매핑'!O111</x:f>
        <x:v>4140</x:v>
      </x:c>
      <x:c r="J59" s="26" t="n">
        <x:f>'원자료·매핑'!I111</x:f>
        <x:v>22</x:v>
      </x:c>
      <x:c r="K59" s="26" t="n">
        <x:f>'원자료·매핑'!J111</x:f>
        <x:v>24</x:v>
      </x:c>
      <x:c r="L59" s="26" t="n">
        <x:f>'원자료·매핑'!R111</x:f>
        <x:v>10</x:v>
      </x:c>
      <x:c r="M59" s="24" t="str">
        <x:v>미제공</x:v>
      </x:c>
      <x:c r="N59" s="24" t="n">
        <x:v>101</x:v>
      </x:c>
      <x:c r="O59" s="69" t="n">
        <x:f>'원자료·매핑'!U111</x:f>
        <x:v>0</x:v>
      </x:c>
      <x:c r="P59" s="69" t="n">
        <x:f>'원자료·매핑'!V111</x:f>
        <x:v>4140</x:v>
      </x:c>
      <x:c r="Q59" s="69" t="n">
        <x:f>'원자료·매핑'!X111</x:f>
        <x:v>4140</x:v>
      </x:c>
      <x:c r="R59" s="62" t="str">
        <x:f>IF(O59=I59,"전량 불출(가상)",IF(O59&gt;0,"부분 사용·잔량 야적",IF(P59&gt;0,"반입·야적(가상)","반입 예정")))</x:f>
        <x:v>반입·야적(가상)</x:v>
      </x:c>
    </x:row>
    <x:row r="60" ht="40" customHeight="1">
      <x:c r="A60" s="25" t="n">
        <x:v>54</x:v>
      </x:c>
      <x:c r="B60" s="25" t="str">
        <x:v>104동</x:v>
      </x:c>
      <x:c r="C60" s="6" t="str">
        <x:v>보·슬래브 철근배근</x:v>
      </x:c>
      <x:c r="D60" s="6" t="str">
        <x:v>철근</x:v>
      </x:c>
      <x:c r="E60" s="6" t="str">
        <x:v>철근</x:v>
      </x:c>
      <x:c r="F60" s="6" t="str">
        <x:v>D25</x:v>
      </x:c>
      <x:c r="G60" s="6" t="str">
        <x:v>SD500 D25 / 부위별 공장 가공</x:v>
      </x:c>
      <x:c r="H60" s="6" t="str">
        <x:v>kg</x:v>
      </x:c>
      <x:c r="I60" s="20" t="n">
        <x:f>'원자료·매핑'!O112</x:f>
        <x:v>2770</x:v>
      </x:c>
      <x:c r="J60" s="27" t="n">
        <x:f>'원자료·매핑'!I112</x:f>
        <x:v>22</x:v>
      </x:c>
      <x:c r="K60" s="27" t="n">
        <x:f>'원자료·매핑'!J112</x:f>
        <x:v>24</x:v>
      </x:c>
      <x:c r="L60" s="27" t="n">
        <x:f>'원자료·매핑'!R112</x:f>
        <x:v>10</x:v>
      </x:c>
      <x:c r="M60" s="25" t="str">
        <x:v>미제공</x:v>
      </x:c>
      <x:c r="N60" s="25" t="n">
        <x:v>102</x:v>
      </x:c>
      <x:c r="O60" s="70" t="n">
        <x:f>'원자료·매핑'!U112</x:f>
        <x:v>0</x:v>
      </x:c>
      <x:c r="P60" s="70" t="n">
        <x:f>'원자료·매핑'!V112</x:f>
        <x:v>2770</x:v>
      </x:c>
      <x:c r="Q60" s="70" t="n">
        <x:f>'원자료·매핑'!X112</x:f>
        <x:v>2770</x:v>
      </x:c>
      <x:c r="R60" s="58" t="str">
        <x:f>IF(O60=I60,"전량 불출(가상)",IF(O60&gt;0,"부분 사용·잔량 야적",IF(P60&gt;0,"반입·야적(가상)","반입 예정")))</x:f>
        <x:v>반입·야적(가상)</x:v>
      </x:c>
    </x:row>
    <x:row r="61" ht="40" customHeight="1">
      <x:c r="A61" s="24" t="n">
        <x:v>55</x:v>
      </x:c>
      <x:c r="B61" s="24" t="str">
        <x:v>105동</x:v>
      </x:c>
      <x:c r="C61" s="13" t="str">
        <x:v>벽체·기둥 철근배근</x:v>
      </x:c>
      <x:c r="D61" s="13" t="str">
        <x:v>철근</x:v>
      </x:c>
      <x:c r="E61" s="13" t="str">
        <x:v>철근</x:v>
      </x:c>
      <x:c r="F61" s="13" t="str">
        <x:v>D10</x:v>
      </x:c>
      <x:c r="G61" s="13" t="str">
        <x:v>SD500 D10 / 부위별 공장 가공</x:v>
      </x:c>
      <x:c r="H61" s="13" t="str">
        <x:v>kg</x:v>
      </x:c>
      <x:c r="I61" s="19" t="n">
        <x:f>'원자료·매핑'!O113</x:f>
        <x:v>2000</x:v>
      </x:c>
      <x:c r="J61" s="26" t="n">
        <x:f>'원자료·매핑'!I113</x:f>
        <x:v>8</x:v>
      </x:c>
      <x:c r="K61" s="26" t="n">
        <x:f>'원자료·매핑'!J113</x:f>
        <x:v>12</x:v>
      </x:c>
      <x:c r="L61" s="26" t="n">
        <x:f>'원자료·매핑'!R113</x:f>
        <x:v>7</x:v>
      </x:c>
      <x:c r="M61" s="24" t="str">
        <x:v>미제공</x:v>
      </x:c>
      <x:c r="N61" s="24" t="n">
        <x:v>103</x:v>
      </x:c>
      <x:c r="O61" s="69" t="n">
        <x:f>'원자료·매핑'!U113</x:f>
        <x:v>1200</x:v>
      </x:c>
      <x:c r="P61" s="69" t="n">
        <x:f>'원자료·매핑'!V113</x:f>
        <x:v>800</x:v>
      </x:c>
      <x:c r="Q61" s="69" t="n">
        <x:f>'원자료·매핑'!X113</x:f>
        <x:v>800</x:v>
      </x:c>
      <x:c r="R61" s="62" t="str">
        <x:f>IF(O61=I61,"전량 불출(가상)",IF(O61&gt;0,"부분 사용·잔량 야적",IF(P61&gt;0,"반입·야적(가상)","반입 예정")))</x:f>
        <x:v>부분 사용·잔량 야적</x:v>
      </x:c>
    </x:row>
    <x:row r="62" ht="40" customHeight="1">
      <x:c r="A62" s="25" t="n">
        <x:v>56</x:v>
      </x:c>
      <x:c r="B62" s="25" t="str">
        <x:v>105동</x:v>
      </x:c>
      <x:c r="C62" s="6" t="str">
        <x:v>벽체·기둥 철근배근</x:v>
      </x:c>
      <x:c r="D62" s="6" t="str">
        <x:v>철근</x:v>
      </x:c>
      <x:c r="E62" s="6" t="str">
        <x:v>철근</x:v>
      </x:c>
      <x:c r="F62" s="6" t="str">
        <x:v>D13</x:v>
      </x:c>
      <x:c r="G62" s="6" t="str">
        <x:v>SD500 D13 / 부위별 공장 가공</x:v>
      </x:c>
      <x:c r="H62" s="6" t="str">
        <x:v>kg</x:v>
      </x:c>
      <x:c r="I62" s="20" t="n">
        <x:f>'원자료·매핑'!O114</x:f>
        <x:v>2990</x:v>
      </x:c>
      <x:c r="J62" s="27" t="n">
        <x:f>'원자료·매핑'!I114</x:f>
        <x:v>8</x:v>
      </x:c>
      <x:c r="K62" s="27" t="n">
        <x:f>'원자료·매핑'!J114</x:f>
        <x:v>12</x:v>
      </x:c>
      <x:c r="L62" s="27" t="n">
        <x:f>'원자료·매핑'!R114</x:f>
        <x:v>7</x:v>
      </x:c>
      <x:c r="M62" s="25" t="str">
        <x:v>미제공</x:v>
      </x:c>
      <x:c r="N62" s="25" t="n">
        <x:v>104</x:v>
      </x:c>
      <x:c r="O62" s="70" t="n">
        <x:f>'원자료·매핑'!U114</x:f>
        <x:v>1794</x:v>
      </x:c>
      <x:c r="P62" s="70" t="n">
        <x:f>'원자료·매핑'!V114</x:f>
        <x:v>1196</x:v>
      </x:c>
      <x:c r="Q62" s="70" t="n">
        <x:f>'원자료·매핑'!X114</x:f>
        <x:v>1196</x:v>
      </x:c>
      <x:c r="R62" s="58" t="str">
        <x:f>IF(O62=I62,"전량 불출(가상)",IF(O62&gt;0,"부분 사용·잔량 야적",IF(P62&gt;0,"반입·야적(가상)","반입 예정")))</x:f>
        <x:v>부분 사용·잔량 야적</x:v>
      </x:c>
    </x:row>
    <x:row r="63" ht="40" customHeight="1">
      <x:c r="A63" s="24" t="n">
        <x:v>57</x:v>
      </x:c>
      <x:c r="B63" s="24" t="str">
        <x:v>105동</x:v>
      </x:c>
      <x:c r="C63" s="13" t="str">
        <x:v>벽체·기둥 철근배근</x:v>
      </x:c>
      <x:c r="D63" s="13" t="str">
        <x:v>철근</x:v>
      </x:c>
      <x:c r="E63" s="13" t="str">
        <x:v>철근</x:v>
      </x:c>
      <x:c r="F63" s="13" t="str">
        <x:v>D16</x:v>
      </x:c>
      <x:c r="G63" s="13" t="str">
        <x:v>SD500 D16 / 부위별 공장 가공</x:v>
      </x:c>
      <x:c r="H63" s="13" t="str">
        <x:v>kg</x:v>
      </x:c>
      <x:c r="I63" s="19" t="n">
        <x:f>'원자료·매핑'!O115</x:f>
        <x:v>3740</x:v>
      </x:c>
      <x:c r="J63" s="26" t="n">
        <x:f>'원자료·매핑'!I115</x:f>
        <x:v>8</x:v>
      </x:c>
      <x:c r="K63" s="26" t="n">
        <x:f>'원자료·매핑'!J115</x:f>
        <x:v>12</x:v>
      </x:c>
      <x:c r="L63" s="26" t="n">
        <x:f>'원자료·매핑'!R115</x:f>
        <x:v>7</x:v>
      </x:c>
      <x:c r="M63" s="24" t="str">
        <x:v>미제공</x:v>
      </x:c>
      <x:c r="N63" s="24" t="n">
        <x:v>105</x:v>
      </x:c>
      <x:c r="O63" s="69" t="n">
        <x:f>'원자료·매핑'!U115</x:f>
        <x:v>2244</x:v>
      </x:c>
      <x:c r="P63" s="69" t="n">
        <x:f>'원자료·매핑'!V115</x:f>
        <x:v>1496</x:v>
      </x:c>
      <x:c r="Q63" s="69" t="n">
        <x:f>'원자료·매핑'!X115</x:f>
        <x:v>1496</x:v>
      </x:c>
      <x:c r="R63" s="62" t="str">
        <x:f>IF(O63=I63,"전량 불출(가상)",IF(O63&gt;0,"부분 사용·잔량 야적",IF(P63&gt;0,"반입·야적(가상)","반입 예정")))</x:f>
        <x:v>부분 사용·잔량 야적</x:v>
      </x:c>
    </x:row>
    <x:row r="64" ht="40" customHeight="1">
      <x:c r="A64" s="25" t="n">
        <x:v>58</x:v>
      </x:c>
      <x:c r="B64" s="25" t="str">
        <x:v>105동</x:v>
      </x:c>
      <x:c r="C64" s="6" t="str">
        <x:v>벽체·기둥 철근배근</x:v>
      </x:c>
      <x:c r="D64" s="6" t="str">
        <x:v>철근</x:v>
      </x:c>
      <x:c r="E64" s="6" t="str">
        <x:v>철근</x:v>
      </x:c>
      <x:c r="F64" s="6" t="str">
        <x:v>D19</x:v>
      </x:c>
      <x:c r="G64" s="6" t="str">
        <x:v>SD500 D19 / 부위별 공장 가공</x:v>
      </x:c>
      <x:c r="H64" s="6" t="str">
        <x:v>kg</x:v>
      </x:c>
      <x:c r="I64" s="20" t="n">
        <x:f>'원자료·매핑'!O116</x:f>
        <x:v>3740</x:v>
      </x:c>
      <x:c r="J64" s="27" t="n">
        <x:f>'원자료·매핑'!I116</x:f>
        <x:v>8</x:v>
      </x:c>
      <x:c r="K64" s="27" t="n">
        <x:f>'원자료·매핑'!J116</x:f>
        <x:v>12</x:v>
      </x:c>
      <x:c r="L64" s="27" t="n">
        <x:f>'원자료·매핑'!R116</x:f>
        <x:v>7</x:v>
      </x:c>
      <x:c r="M64" s="25" t="str">
        <x:v>미제공</x:v>
      </x:c>
      <x:c r="N64" s="25" t="n">
        <x:v>106</x:v>
      </x:c>
      <x:c r="O64" s="70" t="n">
        <x:f>'원자료·매핑'!U116</x:f>
        <x:v>2244</x:v>
      </x:c>
      <x:c r="P64" s="70" t="n">
        <x:f>'원자료·매핑'!V116</x:f>
        <x:v>1496</x:v>
      </x:c>
      <x:c r="Q64" s="70" t="n">
        <x:f>'원자료·매핑'!X116</x:f>
        <x:v>1496</x:v>
      </x:c>
      <x:c r="R64" s="58" t="str">
        <x:f>IF(O64=I64,"전량 불출(가상)",IF(O64&gt;0,"부분 사용·잔량 야적",IF(P64&gt;0,"반입·야적(가상)","반입 예정")))</x:f>
        <x:v>부분 사용·잔량 야적</x:v>
      </x:c>
    </x:row>
    <x:row r="65" ht="40" customHeight="1">
      <x:c r="A65" s="24" t="n">
        <x:v>59</x:v>
      </x:c>
      <x:c r="B65" s="24" t="str">
        <x:v>105동</x:v>
      </x:c>
      <x:c r="C65" s="13" t="str">
        <x:v>벽체·기둥 철근배근</x:v>
      </x:c>
      <x:c r="D65" s="13" t="str">
        <x:v>철근</x:v>
      </x:c>
      <x:c r="E65" s="13" t="str">
        <x:v>철근</x:v>
      </x:c>
      <x:c r="F65" s="13" t="str">
        <x:v>D22</x:v>
      </x:c>
      <x:c r="G65" s="13" t="str">
        <x:v>SD500 D22 / 부위별 공장 가공</x:v>
      </x:c>
      <x:c r="H65" s="13" t="str">
        <x:v>kg</x:v>
      </x:c>
      <x:c r="I65" s="19" t="n">
        <x:f>'원자료·매핑'!O117</x:f>
        <x:v>4980</x:v>
      </x:c>
      <x:c r="J65" s="26" t="n">
        <x:f>'원자료·매핑'!I117</x:f>
        <x:v>8</x:v>
      </x:c>
      <x:c r="K65" s="26" t="n">
        <x:f>'원자료·매핑'!J117</x:f>
        <x:v>12</x:v>
      </x:c>
      <x:c r="L65" s="26" t="n">
        <x:f>'원자료·매핑'!R117</x:f>
        <x:v>7</x:v>
      </x:c>
      <x:c r="M65" s="24" t="str">
        <x:v>미제공</x:v>
      </x:c>
      <x:c r="N65" s="24" t="n">
        <x:v>107</x:v>
      </x:c>
      <x:c r="O65" s="69" t="n">
        <x:f>'원자료·매핑'!U117</x:f>
        <x:v>2988</x:v>
      </x:c>
      <x:c r="P65" s="69" t="n">
        <x:f>'원자료·매핑'!V117</x:f>
        <x:v>1992</x:v>
      </x:c>
      <x:c r="Q65" s="69" t="n">
        <x:f>'원자료·매핑'!X117</x:f>
        <x:v>1992</x:v>
      </x:c>
      <x:c r="R65" s="62" t="str">
        <x:f>IF(O65=I65,"전량 불출(가상)",IF(O65&gt;0,"부분 사용·잔량 야적",IF(P65&gt;0,"반입·야적(가상)","반입 예정")))</x:f>
        <x:v>부분 사용·잔량 야적</x:v>
      </x:c>
    </x:row>
    <x:row r="66" ht="40" customHeight="1">
      <x:c r="A66" s="25" t="n">
        <x:v>60</x:v>
      </x:c>
      <x:c r="B66" s="25" t="str">
        <x:v>105동</x:v>
      </x:c>
      <x:c r="C66" s="6" t="str">
        <x:v>벽체·기둥 철근배근</x:v>
      </x:c>
      <x:c r="D66" s="6" t="str">
        <x:v>철근</x:v>
      </x:c>
      <x:c r="E66" s="6" t="str">
        <x:v>철근</x:v>
      </x:c>
      <x:c r="F66" s="6" t="str">
        <x:v>D25</x:v>
      </x:c>
      <x:c r="G66" s="6" t="str">
        <x:v>SD500 D25 / 부위별 공장 가공</x:v>
      </x:c>
      <x:c r="H66" s="6" t="str">
        <x:v>kg</x:v>
      </x:c>
      <x:c r="I66" s="20" t="n">
        <x:f>'원자료·매핑'!O118</x:f>
        <x:v>7470</x:v>
      </x:c>
      <x:c r="J66" s="27" t="n">
        <x:f>'원자료·매핑'!I118</x:f>
        <x:v>8</x:v>
      </x:c>
      <x:c r="K66" s="27" t="n">
        <x:f>'원자료·매핑'!J118</x:f>
        <x:v>12</x:v>
      </x:c>
      <x:c r="L66" s="27" t="n">
        <x:f>'원자료·매핑'!R118</x:f>
        <x:v>7</x:v>
      </x:c>
      <x:c r="M66" s="25" t="str">
        <x:v>미제공</x:v>
      </x:c>
      <x:c r="N66" s="25" t="n">
        <x:v>108</x:v>
      </x:c>
      <x:c r="O66" s="70" t="n">
        <x:f>'원자료·매핑'!U118</x:f>
        <x:v>4482</x:v>
      </x:c>
      <x:c r="P66" s="70" t="n">
        <x:f>'원자료·매핑'!V118</x:f>
        <x:v>2988</x:v>
      </x:c>
      <x:c r="Q66" s="70" t="n">
        <x:f>'원자료·매핑'!X118</x:f>
        <x:v>2988</x:v>
      </x:c>
      <x:c r="R66" s="58" t="str">
        <x:f>IF(O66=I66,"전량 불출(가상)",IF(O66&gt;0,"부분 사용·잔량 야적",IF(P66&gt;0,"반입·야적(가상)","반입 예정")))</x:f>
        <x:v>부분 사용·잔량 야적</x:v>
      </x:c>
    </x:row>
    <x:row r="67" ht="40" customHeight="1">
      <x:c r="A67" s="24" t="n">
        <x:v>61</x:v>
      </x:c>
      <x:c r="B67" s="24" t="str">
        <x:v>105동</x:v>
      </x:c>
      <x:c r="C67" s="13" t="str">
        <x:v>수직부 거푸집 설치</x:v>
      </x:c>
      <x:c r="D67" s="13" t="str">
        <x:v>거푸집</x:v>
      </x:c>
      <x:c r="E67" s="13" t="str">
        <x:v>유로폼</x:v>
      </x:c>
      <x:c r="F67" s="13" t="str">
        <x:v>500x1200</x:v>
      </x:c>
      <x:c r="G67" s="13" t="str">
        <x:v>500×1,200mm</x:v>
      </x:c>
      <x:c r="H67" s="13" t="str">
        <x:v>장</x:v>
      </x:c>
      <x:c r="I67" s="19" t="n">
        <x:f>'원자료·매핑'!O119</x:f>
        <x:v>999</x:v>
      </x:c>
      <x:c r="J67" s="26" t="n">
        <x:f>'원자료·매핑'!I119</x:f>
        <x:v>13</x:v>
      </x:c>
      <x:c r="K67" s="26" t="n">
        <x:f>'원자료·매핑'!J119</x:f>
        <x:v>19</x:v>
      </x:c>
      <x:c r="L67" s="26" t="n">
        <x:f>'원자료·매핑'!R119</x:f>
        <x:v>10</x:v>
      </x:c>
      <x:c r="M67" s="24" t="str">
        <x:v>해당 없음</x:v>
      </x:c>
      <x:c r="N67" s="24" t="n">
        <x:v>109</x:v>
      </x:c>
      <x:c r="O67" s="69" t="n">
        <x:f>'원자료·매핑'!U119</x:f>
        <x:v>0</x:v>
      </x:c>
      <x:c r="P67" s="69" t="n">
        <x:f>'원자료·매핑'!V119</x:f>
        <x:v>999</x:v>
      </x:c>
      <x:c r="Q67" s="69" t="n">
        <x:f>'원자료·매핑'!X119</x:f>
        <x:v>999</x:v>
      </x:c>
      <x:c r="R67" s="62" t="str">
        <x:f>IF(O67=I67,"전량 불출(가상)",IF(O67&gt;0,"부분 사용·잔량 야적",IF(P67&gt;0,"반입·야적(가상)","반입 예정")))</x:f>
        <x:v>반입·야적(가상)</x:v>
      </x:c>
    </x:row>
    <x:row r="68" ht="40" customHeight="1">
      <x:c r="A68" s="25" t="n">
        <x:v>62</x:v>
      </x:c>
      <x:c r="B68" s="25" t="str">
        <x:v>105동</x:v>
      </x:c>
      <x:c r="C68" s="6" t="str">
        <x:v>수직부 거푸집 설치</x:v>
      </x:c>
      <x:c r="D68" s="6" t="str">
        <x:v>거푸집</x:v>
      </x:c>
      <x:c r="E68" s="6" t="str">
        <x:v>유로폼</x:v>
      </x:c>
      <x:c r="F68" s="6" t="str">
        <x:v>600x1200</x:v>
      </x:c>
      <x:c r="G68" s="6" t="str">
        <x:v>600×1,200mm</x:v>
      </x:c>
      <x:c r="H68" s="6" t="str">
        <x:v>장</x:v>
      </x:c>
      <x:c r="I68" s="20" t="n">
        <x:f>'원자료·매핑'!O120</x:f>
        <x:v>347</x:v>
      </x:c>
      <x:c r="J68" s="27" t="n">
        <x:f>'원자료·매핑'!I120</x:f>
        <x:v>13</x:v>
      </x:c>
      <x:c r="K68" s="27" t="n">
        <x:f>'원자료·매핑'!J120</x:f>
        <x:v>19</x:v>
      </x:c>
      <x:c r="L68" s="27" t="n">
        <x:f>'원자료·매핑'!R120</x:f>
        <x:v>10</x:v>
      </x:c>
      <x:c r="M68" s="25" t="str">
        <x:v>해당 없음</x:v>
      </x:c>
      <x:c r="N68" s="25" t="n">
        <x:v>110</x:v>
      </x:c>
      <x:c r="O68" s="70" t="n">
        <x:f>'원자료·매핑'!U120</x:f>
        <x:v>0</x:v>
      </x:c>
      <x:c r="P68" s="70" t="n">
        <x:f>'원자료·매핑'!V120</x:f>
        <x:v>347</x:v>
      </x:c>
      <x:c r="Q68" s="70" t="n">
        <x:f>'원자료·매핑'!X120</x:f>
        <x:v>347</x:v>
      </x:c>
      <x:c r="R68" s="58" t="str">
        <x:f>IF(O68=I68,"전량 불출(가상)",IF(O68&gt;0,"부분 사용·잔량 야적",IF(P68&gt;0,"반입·야적(가상)","반입 예정")))</x:f>
        <x:v>반입·야적(가상)</x:v>
      </x:c>
    </x:row>
    <x:row r="69" ht="40" customHeight="1">
      <x:c r="A69" s="24" t="n">
        <x:v>63</x:v>
      </x:c>
      <x:c r="B69" s="24" t="str">
        <x:v>105동</x:v>
      </x:c>
      <x:c r="C69" s="13" t="str">
        <x:v>수직부 거푸집 설치</x:v>
      </x:c>
      <x:c r="D69" s="13" t="str">
        <x:v>거푸집</x:v>
      </x:c>
      <x:c r="E69" s="13" t="str">
        <x:v>유로폼</x:v>
      </x:c>
      <x:c r="F69" s="13" t="str">
        <x:v>300x1200</x:v>
      </x:c>
      <x:c r="G69" s="13" t="str">
        <x:v>300×1,200mm</x:v>
      </x:c>
      <x:c r="H69" s="13" t="str">
        <x:v>장</x:v>
      </x:c>
      <x:c r="I69" s="19" t="n">
        <x:f>'원자료·매핑'!O121</x:f>
        <x:v>278</x:v>
      </x:c>
      <x:c r="J69" s="26" t="n">
        <x:f>'원자료·매핑'!I121</x:f>
        <x:v>13</x:v>
      </x:c>
      <x:c r="K69" s="26" t="n">
        <x:f>'원자료·매핑'!J121</x:f>
        <x:v>19</x:v>
      </x:c>
      <x:c r="L69" s="26" t="n">
        <x:f>'원자료·매핑'!R121</x:f>
        <x:v>10</x:v>
      </x:c>
      <x:c r="M69" s="24" t="str">
        <x:v>해당 없음</x:v>
      </x:c>
      <x:c r="N69" s="24" t="n">
        <x:v>111</x:v>
      </x:c>
      <x:c r="O69" s="69" t="n">
        <x:f>'원자료·매핑'!U121</x:f>
        <x:v>0</x:v>
      </x:c>
      <x:c r="P69" s="69" t="n">
        <x:f>'원자료·매핑'!V121</x:f>
        <x:v>278</x:v>
      </x:c>
      <x:c r="Q69" s="69" t="n">
        <x:f>'원자료·매핑'!X121</x:f>
        <x:v>278</x:v>
      </x:c>
      <x:c r="R69" s="62" t="str">
        <x:f>IF(O69=I69,"전량 불출(가상)",IF(O69&gt;0,"부분 사용·잔량 야적",IF(P69&gt;0,"반입·야적(가상)","반입 예정")))</x:f>
        <x:v>반입·야적(가상)</x:v>
      </x:c>
    </x:row>
    <x:row r="70" ht="40" customHeight="1">
      <x:c r="A70" s="25" t="n">
        <x:v>64</x:v>
      </x:c>
      <x:c r="B70" s="25" t="str">
        <x:v>105동</x:v>
      </x:c>
      <x:c r="C70" s="6" t="str">
        <x:v>시스템동바리 조립</x:v>
      </x:c>
      <x:c r="D70" s="6" t="str">
        <x:v>시스템동바리</x:v>
      </x:c>
      <x:c r="E70" s="6" t="str">
        <x:v>시스템서포트</x:v>
      </x:c>
      <x:c r="F70" s="6" t="str">
        <x:v>동바리 상부자키</x:v>
      </x:c>
      <x:c r="G70" s="6" t="str">
        <x:v>Ø45 / L=600mm</x:v>
      </x:c>
      <x:c r="H70" s="6" t="str">
        <x:v>개</x:v>
      </x:c>
      <x:c r="I70" s="20" t="n">
        <x:f>'원자료·매핑'!O133</x:f>
        <x:v>630</x:v>
      </x:c>
      <x:c r="J70" s="27" t="n">
        <x:f>'원자료·매핑'!I133</x:f>
        <x:v>20</x:v>
      </x:c>
      <x:c r="K70" s="27" t="n">
        <x:f>'원자료·매핑'!J133</x:f>
        <x:v>22</x:v>
      </x:c>
      <x:c r="L70" s="27" t="n">
        <x:f>'원자료·매핑'!R133</x:f>
        <x:v>19</x:v>
      </x:c>
      <x:c r="M70" s="25" t="str">
        <x:v>해당 없음</x:v>
      </x:c>
      <x:c r="N70" s="25" t="n">
        <x:v>123</x:v>
      </x:c>
      <x:c r="O70" s="70" t="n">
        <x:f>'원자료·매핑'!U133</x:f>
        <x:v>0</x:v>
      </x:c>
      <x:c r="P70" s="70" t="n">
        <x:f>'원자료·매핑'!V133</x:f>
        <x:v>0</x:v>
      </x:c>
      <x:c r="Q70" s="70" t="n">
        <x:f>'원자료·매핑'!X133</x:f>
        <x:v>630</x:v>
      </x:c>
      <x:c r="R70" s="58" t="str">
        <x:f>IF(O70=I70,"전량 불출(가상)",IF(O70&gt;0,"부분 사용·잔량 야적",IF(P70&gt;0,"반입·야적(가상)","반입 예정")))</x:f>
        <x:v>반입 예정</x:v>
      </x:c>
    </x:row>
    <x:row r="71" ht="40" customHeight="1">
      <x:c r="A71" s="24" t="n">
        <x:v>65</x:v>
      </x:c>
      <x:c r="B71" s="24" t="str">
        <x:v>105동</x:v>
      </x:c>
      <x:c r="C71" s="13" t="str">
        <x:v>시스템동바리 조립</x:v>
      </x:c>
      <x:c r="D71" s="13" t="str">
        <x:v>시스템동바리</x:v>
      </x:c>
      <x:c r="E71" s="13" t="str">
        <x:v>시스템서포트</x:v>
      </x:c>
      <x:c r="F71" s="13" t="str">
        <x:v>동바리 하부자키</x:v>
      </x:c>
      <x:c r="G71" s="13" t="str">
        <x:v>Ø45 / L=600mm</x:v>
      </x:c>
      <x:c r="H71" s="13" t="str">
        <x:v>개</x:v>
      </x:c>
      <x:c r="I71" s="19" t="n">
        <x:f>'원자료·매핑'!O134</x:f>
        <x:v>630</x:v>
      </x:c>
      <x:c r="J71" s="26" t="n">
        <x:f>'원자료·매핑'!I134</x:f>
        <x:v>20</x:v>
      </x:c>
      <x:c r="K71" s="26" t="n">
        <x:f>'원자료·매핑'!J134</x:f>
        <x:v>22</x:v>
      </x:c>
      <x:c r="L71" s="26" t="n">
        <x:f>'원자료·매핑'!R134</x:f>
        <x:v>19</x:v>
      </x:c>
      <x:c r="M71" s="24" t="str">
        <x:v>해당 없음</x:v>
      </x:c>
      <x:c r="N71" s="24" t="n">
        <x:v>124</x:v>
      </x:c>
      <x:c r="O71" s="69" t="n">
        <x:f>'원자료·매핑'!U134</x:f>
        <x:v>0</x:v>
      </x:c>
      <x:c r="P71" s="69" t="n">
        <x:f>'원자료·매핑'!V134</x:f>
        <x:v>0</x:v>
      </x:c>
      <x:c r="Q71" s="69" t="n">
        <x:f>'원자료·매핑'!X134</x:f>
        <x:v>630</x:v>
      </x:c>
      <x:c r="R71" s="62" t="str">
        <x:f>IF(O71=I71,"전량 불출(가상)",IF(O71&gt;0,"부분 사용·잔량 야적",IF(P71&gt;0,"반입·야적(가상)","반입 예정")))</x:f>
        <x:v>반입 예정</x:v>
      </x:c>
    </x:row>
    <x:row r="72" ht="40" customHeight="1">
      <x:c r="A72" s="25" t="n">
        <x:v>66</x:v>
      </x:c>
      <x:c r="B72" s="25" t="str">
        <x:v>105동</x:v>
      </x:c>
      <x:c r="C72" s="6" t="str">
        <x:v>시스템동바리 조립</x:v>
      </x:c>
      <x:c r="D72" s="6" t="str">
        <x:v>시스템동바리</x:v>
      </x:c>
      <x:c r="E72" s="6" t="str">
        <x:v>시스템서포트</x:v>
      </x:c>
      <x:c r="F72" s="6" t="str">
        <x:v>카플링(소켓)</x:v>
      </x:c>
      <x:c r="G72" s="6" t="str">
        <x:v>Ø60.5 / L=120mm</x:v>
      </x:c>
      <x:c r="H72" s="6" t="str">
        <x:v>개</x:v>
      </x:c>
      <x:c r="I72" s="20" t="n">
        <x:f>'원자료·매핑'!O135</x:f>
        <x:v>1260</x:v>
      </x:c>
      <x:c r="J72" s="27" t="n">
        <x:f>'원자료·매핑'!I135</x:f>
        <x:v>20</x:v>
      </x:c>
      <x:c r="K72" s="27" t="n">
        <x:f>'원자료·매핑'!J135</x:f>
        <x:v>22</x:v>
      </x:c>
      <x:c r="L72" s="27" t="n">
        <x:f>'원자료·매핑'!R135</x:f>
        <x:v>19</x:v>
      </x:c>
      <x:c r="M72" s="25" t="str">
        <x:v>해당 없음</x:v>
      </x:c>
      <x:c r="N72" s="25" t="n">
        <x:v>125</x:v>
      </x:c>
      <x:c r="O72" s="70" t="n">
        <x:f>'원자료·매핑'!U135</x:f>
        <x:v>0</x:v>
      </x:c>
      <x:c r="P72" s="70" t="n">
        <x:f>'원자료·매핑'!V135</x:f>
        <x:v>0</x:v>
      </x:c>
      <x:c r="Q72" s="70" t="n">
        <x:f>'원자료·매핑'!X135</x:f>
        <x:v>1260</x:v>
      </x:c>
      <x:c r="R72" s="58" t="str">
        <x:f>IF(O72=I72,"전량 불출(가상)",IF(O72&gt;0,"부분 사용·잔량 야적",IF(P72&gt;0,"반입·야적(가상)","반입 예정")))</x:f>
        <x:v>반입 예정</x:v>
      </x:c>
    </x:row>
    <x:row r="73" ht="40" customHeight="1">
      <x:c r="A73" s="24" t="n">
        <x:v>67</x:v>
      </x:c>
      <x:c r="B73" s="24" t="str">
        <x:v>105동</x:v>
      </x:c>
      <x:c r="C73" s="13" t="str">
        <x:v>보·슬래브 철근배근</x:v>
      </x:c>
      <x:c r="D73" s="13" t="str">
        <x:v>철근</x:v>
      </x:c>
      <x:c r="E73" s="13" t="str">
        <x:v>철근</x:v>
      </x:c>
      <x:c r="F73" s="13" t="str">
        <x:v>D10</x:v>
      </x:c>
      <x:c r="G73" s="13" t="str">
        <x:v>SD500 D10 / 부위별 공장 가공</x:v>
      </x:c>
      <x:c r="H73" s="13" t="str">
        <x:v>kg</x:v>
      </x:c>
      <x:c r="I73" s="19" t="n">
        <x:f>'원자료·매핑'!O139</x:f>
        <x:v>3250</x:v>
      </x:c>
      <x:c r="J73" s="26" t="n">
        <x:f>'원자료·매핑'!I139</x:f>
        <x:v>27</x:v>
      </x:c>
      <x:c r="K73" s="26" t="n">
        <x:f>'원자료·매핑'!J139</x:f>
        <x:v>29</x:v>
      </x:c>
      <x:c r="L73" s="26" t="n">
        <x:f>'원자료·매핑'!R139</x:f>
        <x:v>26</x:v>
      </x:c>
      <x:c r="M73" s="24" t="str">
        <x:v>미제공</x:v>
      </x:c>
      <x:c r="N73" s="24" t="n">
        <x:v>129</x:v>
      </x:c>
      <x:c r="O73" s="69" t="n">
        <x:f>'원자료·매핑'!U139</x:f>
        <x:v>0</x:v>
      </x:c>
      <x:c r="P73" s="69" t="n">
        <x:f>'원자료·매핑'!V139</x:f>
        <x:v>0</x:v>
      </x:c>
      <x:c r="Q73" s="69" t="n">
        <x:f>'원자료·매핑'!X139</x:f>
        <x:v>3250</x:v>
      </x:c>
      <x:c r="R73" s="62" t="str">
        <x:f>IF(O73=I73,"전량 불출(가상)",IF(O73&gt;0,"부분 사용·잔량 야적",IF(P73&gt;0,"반입·야적(가상)","반입 예정")))</x:f>
        <x:v>반입 예정</x:v>
      </x:c>
    </x:row>
    <x:row r="74" ht="40" customHeight="1">
      <x:c r="A74" s="25" t="n">
        <x:v>68</x:v>
      </x:c>
      <x:c r="B74" s="25" t="str">
        <x:v>105동</x:v>
      </x:c>
      <x:c r="C74" s="6" t="str">
        <x:v>보·슬래브 철근배근</x:v>
      </x:c>
      <x:c r="D74" s="6" t="str">
        <x:v>철근</x:v>
      </x:c>
      <x:c r="E74" s="6" t="str">
        <x:v>철근</x:v>
      </x:c>
      <x:c r="F74" s="6" t="str">
        <x:v>D13</x:v>
      </x:c>
      <x:c r="G74" s="6" t="str">
        <x:v>SD500 D13 / 부위별 공장 가공</x:v>
      </x:c>
      <x:c r="H74" s="6" t="str">
        <x:v>kg</x:v>
      </x:c>
      <x:c r="I74" s="20" t="n">
        <x:f>'원자료·매핑'!O140</x:f>
        <x:v>8110</x:v>
      </x:c>
      <x:c r="J74" s="27" t="n">
        <x:f>'원자료·매핑'!I140</x:f>
        <x:v>27</x:v>
      </x:c>
      <x:c r="K74" s="27" t="n">
        <x:f>'원자료·매핑'!J140</x:f>
        <x:v>29</x:v>
      </x:c>
      <x:c r="L74" s="27" t="n">
        <x:f>'원자료·매핑'!R140</x:f>
        <x:v>26</x:v>
      </x:c>
      <x:c r="M74" s="25" t="str">
        <x:v>미제공</x:v>
      </x:c>
      <x:c r="N74" s="25" t="n">
        <x:v>130</x:v>
      </x:c>
      <x:c r="O74" s="70" t="n">
        <x:f>'원자료·매핑'!U140</x:f>
        <x:v>0</x:v>
      </x:c>
      <x:c r="P74" s="70" t="n">
        <x:f>'원자료·매핑'!V140</x:f>
        <x:v>0</x:v>
      </x:c>
      <x:c r="Q74" s="70" t="n">
        <x:f>'원자료·매핑'!X140</x:f>
        <x:v>8110</x:v>
      </x:c>
      <x:c r="R74" s="58" t="str">
        <x:f>IF(O74=I74,"전량 불출(가상)",IF(O74&gt;0,"부분 사용·잔량 야적",IF(P74&gt;0,"반입·야적(가상)","반입 예정")))</x:f>
        <x:v>반입 예정</x:v>
      </x:c>
    </x:row>
    <x:row r="75" ht="40" customHeight="1">
      <x:c r="A75" s="24" t="n">
        <x:v>69</x:v>
      </x:c>
      <x:c r="B75" s="24" t="str">
        <x:v>105동</x:v>
      </x:c>
      <x:c r="C75" s="13" t="str">
        <x:v>보·슬래브 철근배근</x:v>
      </x:c>
      <x:c r="D75" s="13" t="str">
        <x:v>철근</x:v>
      </x:c>
      <x:c r="E75" s="13" t="str">
        <x:v>철근</x:v>
      </x:c>
      <x:c r="F75" s="13" t="str">
        <x:v>D16</x:v>
      </x:c>
      <x:c r="G75" s="13" t="str">
        <x:v>SD500 D16 / 부위별 공장 가공</x:v>
      </x:c>
      <x:c r="H75" s="13" t="str">
        <x:v>kg</x:v>
      </x:c>
      <x:c r="I75" s="19" t="n">
        <x:f>'원자료·매핑'!O141</x:f>
        <x:v>6490</x:v>
      </x:c>
      <x:c r="J75" s="26" t="n">
        <x:f>'원자료·매핑'!I141</x:f>
        <x:v>27</x:v>
      </x:c>
      <x:c r="K75" s="26" t="n">
        <x:f>'원자료·매핑'!J141</x:f>
        <x:v>29</x:v>
      </x:c>
      <x:c r="L75" s="26" t="n">
        <x:f>'원자료·매핑'!R141</x:f>
        <x:v>26</x:v>
      </x:c>
      <x:c r="M75" s="24" t="str">
        <x:v>미제공</x:v>
      </x:c>
      <x:c r="N75" s="24" t="n">
        <x:v>131</x:v>
      </x:c>
      <x:c r="O75" s="69" t="n">
        <x:f>'원자료·매핑'!U141</x:f>
        <x:v>0</x:v>
      </x:c>
      <x:c r="P75" s="69" t="n">
        <x:f>'원자료·매핑'!V141</x:f>
        <x:v>0</x:v>
      </x:c>
      <x:c r="Q75" s="69" t="n">
        <x:f>'원자료·매핑'!X141</x:f>
        <x:v>6490</x:v>
      </x:c>
      <x:c r="R75" s="62" t="str">
        <x:f>IF(O75=I75,"전량 불출(가상)",IF(O75&gt;0,"부분 사용·잔량 야적",IF(P75&gt;0,"반입·야적(가상)","반입 예정")))</x:f>
        <x:v>반입 예정</x:v>
      </x:c>
    </x:row>
    <x:row r="76" ht="40" customHeight="1">
      <x:c r="A76" s="25" t="n">
        <x:v>70</x:v>
      </x:c>
      <x:c r="B76" s="25" t="str">
        <x:v>105동</x:v>
      </x:c>
      <x:c r="C76" s="6" t="str">
        <x:v>보·슬래브 철근배근</x:v>
      </x:c>
      <x:c r="D76" s="6" t="str">
        <x:v>철근</x:v>
      </x:c>
      <x:c r="E76" s="6" t="str">
        <x:v>철근</x:v>
      </x:c>
      <x:c r="F76" s="6" t="str">
        <x:v>D19</x:v>
      </x:c>
      <x:c r="G76" s="6" t="str">
        <x:v>SD500 D19 / 부위별 공장 가공</x:v>
      </x:c>
      <x:c r="H76" s="6" t="str">
        <x:v>kg</x:v>
      </x:c>
      <x:c r="I76" s="20" t="n">
        <x:f>'원자료·매핑'!O142</x:f>
        <x:v>6490</x:v>
      </x:c>
      <x:c r="J76" s="27" t="n">
        <x:f>'원자료·매핑'!I142</x:f>
        <x:v>27</x:v>
      </x:c>
      <x:c r="K76" s="27" t="n">
        <x:f>'원자료·매핑'!J142</x:f>
        <x:v>29</x:v>
      </x:c>
      <x:c r="L76" s="27" t="n">
        <x:f>'원자료·매핑'!R142</x:f>
        <x:v>26</x:v>
      </x:c>
      <x:c r="M76" s="25" t="str">
        <x:v>미제공</x:v>
      </x:c>
      <x:c r="N76" s="25" t="n">
        <x:v>132</x:v>
      </x:c>
      <x:c r="O76" s="70" t="n">
        <x:f>'원자료·매핑'!U142</x:f>
        <x:v>0</x:v>
      </x:c>
      <x:c r="P76" s="70" t="n">
        <x:f>'원자료·매핑'!V142</x:f>
        <x:v>0</x:v>
      </x:c>
      <x:c r="Q76" s="70" t="n">
        <x:f>'원자료·매핑'!X142</x:f>
        <x:v>6490</x:v>
      </x:c>
      <x:c r="R76" s="58" t="str">
        <x:f>IF(O76=I76,"전량 불출(가상)",IF(O76&gt;0,"부분 사용·잔량 야적",IF(P76&gt;0,"반입·야적(가상)","반입 예정")))</x:f>
        <x:v>반입 예정</x:v>
      </x:c>
    </x:row>
    <x:row r="77" ht="40" customHeight="1">
      <x:c r="A77" s="24" t="n">
        <x:v>71</x:v>
      </x:c>
      <x:c r="B77" s="24" t="str">
        <x:v>105동</x:v>
      </x:c>
      <x:c r="C77" s="13" t="str">
        <x:v>보·슬래브 철근배근</x:v>
      </x:c>
      <x:c r="D77" s="13" t="str">
        <x:v>철근</x:v>
      </x:c>
      <x:c r="E77" s="13" t="str">
        <x:v>철근</x:v>
      </x:c>
      <x:c r="F77" s="13" t="str">
        <x:v>D22</x:v>
      </x:c>
      <x:c r="G77" s="13" t="str">
        <x:v>SD500 D22 / 부위별 공장 가공</x:v>
      </x:c>
      <x:c r="H77" s="13" t="str">
        <x:v>kg</x:v>
      </x:c>
      <x:c r="I77" s="19" t="n">
        <x:f>'원자료·매핑'!O143</x:f>
        <x:v>4860</x:v>
      </x:c>
      <x:c r="J77" s="26" t="n">
        <x:f>'원자료·매핑'!I143</x:f>
        <x:v>27</x:v>
      </x:c>
      <x:c r="K77" s="26" t="n">
        <x:f>'원자료·매핑'!J143</x:f>
        <x:v>29</x:v>
      </x:c>
      <x:c r="L77" s="26" t="n">
        <x:f>'원자료·매핑'!R143</x:f>
        <x:v>26</x:v>
      </x:c>
      <x:c r="M77" s="24" t="str">
        <x:v>미제공</x:v>
      </x:c>
      <x:c r="N77" s="24" t="n">
        <x:v>133</x:v>
      </x:c>
      <x:c r="O77" s="69" t="n">
        <x:f>'원자료·매핑'!U143</x:f>
        <x:v>0</x:v>
      </x:c>
      <x:c r="P77" s="69" t="n">
        <x:f>'원자료·매핑'!V143</x:f>
        <x:v>0</x:v>
      </x:c>
      <x:c r="Q77" s="69" t="n">
        <x:f>'원자료·매핑'!X143</x:f>
        <x:v>4860</x:v>
      </x:c>
      <x:c r="R77" s="62" t="str">
        <x:f>IF(O77=I77,"전량 불출(가상)",IF(O77&gt;0,"부분 사용·잔량 야적",IF(P77&gt;0,"반입·야적(가상)","반입 예정")))</x:f>
        <x:v>반입 예정</x:v>
      </x:c>
    </x:row>
    <x:row r="78" ht="40" customHeight="1">
      <x:c r="A78" s="25" t="n">
        <x:v>72</x:v>
      </x:c>
      <x:c r="B78" s="25" t="str">
        <x:v>105동</x:v>
      </x:c>
      <x:c r="C78" s="6" t="str">
        <x:v>보·슬래브 철근배근</x:v>
      </x:c>
      <x:c r="D78" s="6" t="str">
        <x:v>철근</x:v>
      </x:c>
      <x:c r="E78" s="6" t="str">
        <x:v>철근</x:v>
      </x:c>
      <x:c r="F78" s="6" t="str">
        <x:v>D25</x:v>
      </x:c>
      <x:c r="G78" s="6" t="str">
        <x:v>SD500 D25 / 부위별 공장 가공</x:v>
      </x:c>
      <x:c r="H78" s="6" t="str">
        <x:v>kg</x:v>
      </x:c>
      <x:c r="I78" s="20" t="n">
        <x:f>'원자료·매핑'!O144</x:f>
        <x:v>3250</x:v>
      </x:c>
      <x:c r="J78" s="27" t="n">
        <x:f>'원자료·매핑'!I144</x:f>
        <x:v>27</x:v>
      </x:c>
      <x:c r="K78" s="27" t="n">
        <x:f>'원자료·매핑'!J144</x:f>
        <x:v>29</x:v>
      </x:c>
      <x:c r="L78" s="27" t="n">
        <x:f>'원자료·매핑'!R144</x:f>
        <x:v>26</x:v>
      </x:c>
      <x:c r="M78" s="25" t="str">
        <x:v>미제공</x:v>
      </x:c>
      <x:c r="N78" s="25" t="n">
        <x:v>134</x:v>
      </x:c>
      <x:c r="O78" s="70" t="n">
        <x:f>'원자료·매핑'!U144</x:f>
        <x:v>0</x:v>
      </x:c>
      <x:c r="P78" s="70" t="n">
        <x:f>'원자료·매핑'!V144</x:f>
        <x:v>0</x:v>
      </x:c>
      <x:c r="Q78" s="70" t="n">
        <x:f>'원자료·매핑'!X144</x:f>
        <x:v>3250</x:v>
      </x:c>
      <x:c r="R78" s="58" t="str">
        <x:f>IF(O78=I78,"전량 불출(가상)",IF(O78&gt;0,"부분 사용·잔량 야적",IF(P78&gt;0,"반입·야적(가상)","반입 예정")))</x:f>
        <x:v>반입 예정</x:v>
      </x:c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6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mergeCells>
    <x:mergeCell ref="A3:N3"/>
    <x:mergeCell ref="A4:N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5F49"/>
  </x:sheetPr>
  <x:sheetViews>
    <x:sheetView showGridLines="0" workbookViewId="0">
      <x:pane xSplit="3" ySplit="16" topLeftCell="D17" activePane="bottomRight" state="frozen"/>
    </x:sheetView>
  </x:sheetViews>
  <x:sheetFormatPr defaultRowHeight="15"/>
  <x:cols>
    <x:col min="1" max="1" width="8" hidden="0" customWidth="1"/>
    <x:col min="2" max="2" width="9.5" hidden="0" customWidth="1"/>
    <x:col min="3" max="3" width="23.75" hidden="0" customWidth="1"/>
    <x:col min="4" max="4" width="12.5" hidden="0" customWidth="1"/>
    <x:col min="5" max="5" width="15.25" hidden="0" customWidth="1"/>
    <x:col min="6" max="6" width="30.25" hidden="0" customWidth="1"/>
    <x:col min="7" max="7" width="6.880000114440918" hidden="0" customWidth="1"/>
    <x:col min="8" max="8" width="11" hidden="0" customWidth="1"/>
    <x:col min="9" max="9" width="8.75" hidden="0" customWidth="1"/>
    <x:col min="10" max="10" width="8.75" hidden="0" customWidth="1"/>
    <x:col min="11" max="11" width="8.75" hidden="0" customWidth="1"/>
    <x:col min="12" max="12" width="16.25" hidden="0" customWidth="1"/>
    <x:col min="13" max="13" width="21.8799991607666" hidden="0" customWidth="1"/>
    <x:col min="14" max="14" width="10.25" hidden="0" customWidth="1"/>
    <x:col min="15" max="15" width="11.880000114440918" hidden="0" customWidth="1"/>
    <x:col min="16" max="16" width="11.25" hidden="0" customWidth="1"/>
    <x:col min="17" max="17" width="45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6" customHeight="1">
      <x:c r="A2" s="3" t="str">
        <x:v>원자료와 등록 규격 대조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8" customHeight="1">
      <x:c r="A3" s="5" t="str">
        <x:v>합성 탑뷰를 바탕으로 한 가상 진행 시나리오. 실제 촬영일·공정 실적·재고를 확인한 자료가 아닙니다.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8" customHeight="1">
      <x:c r="A4" s="5" t="str">
        <x:v>출처: 성성_4개동_1층골조_규격별가상물량.xlsx / 공정별자재!A7:N134, 골조공정표!A8:H39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8" customHeight="1">
      <x:c r="A5" s="5" t="str">
        <x:v>범위: 113·112·104·105동 / 1층·필로티 / 층고 5.20m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</x:row>
    <x:row r="6" ht="28" customHeight="1">
      <x:c r="A6" s="5" t="str">
        <x:v>WD는 상대 작업일. WD 1 = 104동 6월 2주 착수. 연도·달력 날짜는 미제공.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</x:row>
    <x:row r="7" ht="28" customHeight="1">
      <x:c r="A7" s="5" t="str">
        <x:v>사용자 기준: 웹 등록 품목·규격과 일치하는 물량만 사용. 그 외는 미산정, 수량 0으로 처리하지 않음.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ht="28" customHeight="1">
      <x:c r="A8" s="5" t="str">
        <x:v>철근은 원자료 SD500 D10~D25의 kg 수량 유지. 길이는 미제공이며 본수·묶음 수량으로 변환하지 않음.</x:v>
      </x:c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</x:row>
    <x:row r="9" ht="30" customHeight="1">
      <x:c r="A9" s="6" t="str">
        <x:v>기초재고</x:v>
      </x:c>
      <x:c r="B9" s="8" t="n">
        <x:v>0</x:v>
      </x:c>
      <x:c r="C9" s="6" t="str">
        <x:v>모든 규격의 기초 계획재고 0. 규격이 확인되지 않은 웹 재고는 차감하지 않음.</x:v>
      </x:c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</x:row>
    <x:row r="10" ht="42" customHeight="1">
      <x:c r="A10" s="6" t="str">
        <x:v>기본 선반입</x:v>
      </x:c>
      <x:c r="B10" s="8" t="n">
        <x:v>1</x:v>
      </x:c>
      <x:c r="C10" s="6" t="str">
        <x:v>기본은 사용 1 WD 전 반입. R열에는 104동 보·슬래브 철근 WD10, 105동 유로폼 WD10, 104동 동바리 WD9 선반입을 적용.</x:v>
      </x:c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</x:row>
    <x:row r="11" ht="42" customHeight="1">
      <x:c r="A11" s="5" t="str">
        <x:v>기성률은 작업기간 경과 비율 가정. 불출량은 계획량×기성률을 정수 반올림하며, 반입량을 넘지 않게 제한. 해체·회수·동간 재사용 없음.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 ht="28" customHeight="1">
      <x:c r="A12" s="5" t="str">
        <x:v>이미지의 추가 야적: 철근 2곳·유로폼 2곳·동바리 1곳. 사진의 묶음 수·면적으로 규격별 수량을 측정하지 않음.</x:v>
      </x:c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 ht="28" customHeight="1">
      <x:c r="A13" s="5" t="str">
        <x:v>H열 원수량은 첨부 파일의 계산 결과. O열은 등록 대조 후 반영 수량. 미일치 원수량은 확인용으로만 보존.</x:v>
      </x:c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42" customHeight="1">
      <x:c r="A15" s="6" t="str">
        <x:v>기준 WD</x:v>
      </x:c>
      <x:c r="B15" s="55" t="n">
        <x:v>10</x:v>
      </x:c>
      <x:c r="C15" s="6" t="str">
        <x:v>가상 진행 기준. B15 변경 시 기성·반입·불출·야적재고·잔여량이 함께 갱신됩니다. 원수량과 원래 착수·완료·반입 WD는 H~K열에 보존.</x:v>
      </x:c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</x:row>
    <x:row r="16" ht="40" customHeight="1">
      <x:c r="A16" s="12" t="str">
        <x:v>원본 행</x:v>
      </x:c>
      <x:c r="B16" s="12" t="str">
        <x:v>동</x:v>
      </x:c>
      <x:c r="C16" s="12" t="str">
        <x:v>공정</x:v>
      </x:c>
      <x:c r="D16" s="12" t="str">
        <x:v>원자료 코드</x:v>
      </x:c>
      <x:c r="E16" s="12" t="str">
        <x:v>원자료 품목</x:v>
      </x:c>
      <x:c r="F16" s="12" t="str">
        <x:v>원자료 규격</x:v>
      </x:c>
      <x:c r="G16" s="12" t="str">
        <x:v>단위</x:v>
      </x:c>
      <x:c r="H16" s="12" t="str">
        <x:v>원수량</x:v>
      </x:c>
      <x:c r="I16" s="12" t="str">
        <x:v>착수 WD</x:v>
      </x:c>
      <x:c r="J16" s="12" t="str">
        <x:v>완료 WD</x:v>
      </x:c>
      <x:c r="K16" s="12" t="str">
        <x:v>반입 WD</x:v>
      </x:c>
      <x:c r="L16" s="12" t="str">
        <x:v>등록 품목</x:v>
      </x:c>
      <x:c r="M16" s="12" t="str">
        <x:v>등록 규격</x:v>
      </x:c>
      <x:c r="N16" s="12" t="str">
        <x:v>대조 결과</x:v>
      </x:c>
      <x:c r="O16" s="12" t="str">
        <x:v>반영 수량</x:v>
      </x:c>
      <x:c r="P16" s="12" t="str">
        <x:v>철근 길이 mm</x:v>
      </x:c>
      <x:c r="Q16" s="12" t="str">
        <x:v>처리 근거</x:v>
      </x:c>
      <x:c r="R16" s="61" t="str">
        <x:v>적용 반입 WD</x:v>
      </x:c>
      <x:c r="S16" s="61" t="str">
        <x:v>가정 기성률</x:v>
      </x:c>
      <x:c r="T16" s="61" t="str">
        <x:v>기반입량</x:v>
      </x:c>
      <x:c r="U16" s="61" t="str">
        <x:v>기불출량</x:v>
      </x:c>
      <x:c r="V16" s="61" t="str">
        <x:v>현재 야적량</x:v>
      </x:c>
      <x:c r="W16" s="61" t="str">
        <x:v>잔여 반입량</x:v>
      </x:c>
      <x:c r="X16" s="61" t="str">
        <x:v>잔여 사용량</x:v>
      </x:c>
    </x:row>
    <x:row r="17" ht="44" customHeight="1">
      <x:c r="A17" s="24" t="n">
        <x:v>7</x:v>
      </x:c>
      <x:c r="B17" s="24" t="str">
        <x:v>113동</x:v>
      </x:c>
      <x:c r="C17" s="13" t="str">
        <x:v>벽체·기둥 철근배근</x:v>
      </x:c>
      <x:c r="D17" s="13" t="str">
        <x:v>RB-D10</x:v>
      </x:c>
      <x:c r="E17" s="13" t="str">
        <x:v>철근</x:v>
      </x:c>
      <x:c r="F17" s="13" t="str">
        <x:v>SD500 D10 / 부위별 공장 가공</x:v>
      </x:c>
      <x:c r="G17" s="13" t="str">
        <x:v>kg</x:v>
      </x:c>
      <x:c r="H17" s="17" t="n">
        <x:v>1550</x:v>
      </x:c>
      <x:c r="I17" s="26" t="n">
        <x:v>43</x:v>
      </x:c>
      <x:c r="J17" s="26" t="n">
        <x:v>47</x:v>
      </x:c>
      <x:c r="K17" s="26" t="n">
        <x:v>42</x:v>
      </x:c>
      <x:c r="L17" s="13" t="str">
        <x:v>철근</x:v>
      </x:c>
      <x:c r="M17" s="13" t="str">
        <x:v>D10</x:v>
      </x:c>
      <x:c r="N17" s="24" t="str">
        <x:v>반영</x:v>
      </x:c>
      <x:c r="O17" s="29" t="n">
        <x:f>IF(AND(N17="반영",ISNUMBER(H17)),H17,"미산정")</x:f>
        <x:v>1550</x:v>
      </x:c>
      <x:c r="P17" s="24" t="str">
        <x:v>미제공</x:v>
      </x:c>
      <x:c r="Q17" s="13" t="str">
        <x:v>등록 품목·규격과 일치</x:v>
      </x:c>
      <x:c r="R17" s="65" t="n">
        <x:f>K17</x:f>
        <x:v>42</x:v>
      </x:c>
      <x:c r="S17" s="67" t="n">
        <x:f>MAX(0,MIN(1,($B$15-I17+1)/(J17-I17+1)))</x:f>
        <x:v>0</x:v>
      </x:c>
      <x:c r="T17" s="71" t="n">
        <x:f>IF(ISNUMBER(O17),IF(R17&lt;=$B$15,O17,0),"미산정")</x:f>
        <x:v>0</x:v>
      </x:c>
      <x:c r="U17" s="71" t="n">
        <x:f>IF(ISNUMBER(O17),MIN(T17,ROUND(O17*S17,0)),"미산정")</x:f>
        <x:v>0</x:v>
      </x:c>
      <x:c r="V17" s="71" t="n">
        <x:f>IF(ISNUMBER(O17),T17-U17,"미산정")</x:f>
        <x:v>0</x:v>
      </x:c>
      <x:c r="W17" s="71" t="n">
        <x:f>IF(ISNUMBER(O17),O17-T17,"미산정")</x:f>
        <x:v>1550</x:v>
      </x:c>
      <x:c r="X17" s="71" t="n">
        <x:f>IF(ISNUMBER(O17),O17-U17,"미산정")</x:f>
        <x:v>1550</x:v>
      </x:c>
    </x:row>
    <x:row r="18" ht="44" customHeight="1">
      <x:c r="A18" s="25" t="n">
        <x:v>8</x:v>
      </x:c>
      <x:c r="B18" s="25" t="str">
        <x:v>113동</x:v>
      </x:c>
      <x:c r="C18" s="6" t="str">
        <x:v>벽체·기둥 철근배근</x:v>
      </x:c>
      <x:c r="D18" s="6" t="str">
        <x:v>RB-D13</x:v>
      </x:c>
      <x:c r="E18" s="6" t="str">
        <x:v>철근</x:v>
      </x:c>
      <x:c r="F18" s="6" t="str">
        <x:v>SD500 D13 / 부위별 공장 가공</x:v>
      </x:c>
      <x:c r="G18" s="6" t="str">
        <x:v>kg</x:v>
      </x:c>
      <x:c r="H18" s="18" t="n">
        <x:v>2330</x:v>
      </x:c>
      <x:c r="I18" s="27" t="n">
        <x:v>43</x:v>
      </x:c>
      <x:c r="J18" s="27" t="n">
        <x:v>47</x:v>
      </x:c>
      <x:c r="K18" s="27" t="n">
        <x:v>42</x:v>
      </x:c>
      <x:c r="L18" s="6" t="str">
        <x:v>철근</x:v>
      </x:c>
      <x:c r="M18" s="6" t="str">
        <x:v>D13</x:v>
      </x:c>
      <x:c r="N18" s="25" t="str">
        <x:v>반영</x:v>
      </x:c>
      <x:c r="O18" s="30" t="n">
        <x:f>IF(AND(N18="반영",ISNUMBER(H18)),H18,"미산정")</x:f>
        <x:v>2330</x:v>
      </x:c>
      <x:c r="P18" s="25" t="str">
        <x:v>미제공</x:v>
      </x:c>
      <x:c r="Q18" s="6" t="str">
        <x:v>등록 품목·규격과 일치</x:v>
      </x:c>
      <x:c r="R18" s="65" t="n">
        <x:f>K18</x:f>
        <x:v>42</x:v>
      </x:c>
      <x:c r="S18" s="68" t="n">
        <x:f>MAX(0,MIN(1,($B$15-I18+1)/(J18-I18+1)))</x:f>
        <x:v>0</x:v>
      </x:c>
      <x:c r="T18" s="72" t="n">
        <x:f>IF(ISNUMBER(O18),IF(R18&lt;=$B$15,O18,0),"미산정")</x:f>
        <x:v>0</x:v>
      </x:c>
      <x:c r="U18" s="72" t="n">
        <x:f>IF(ISNUMBER(O18),MIN(T18,ROUND(O18*S18,0)),"미산정")</x:f>
        <x:v>0</x:v>
      </x:c>
      <x:c r="V18" s="72" t="n">
        <x:f>IF(ISNUMBER(O18),T18-U18,"미산정")</x:f>
        <x:v>0</x:v>
      </x:c>
      <x:c r="W18" s="72" t="n">
        <x:f>IF(ISNUMBER(O18),O18-T18,"미산정")</x:f>
        <x:v>2330</x:v>
      </x:c>
      <x:c r="X18" s="72" t="n">
        <x:f>IF(ISNUMBER(O18),O18-U18,"미산정")</x:f>
        <x:v>2330</x:v>
      </x:c>
    </x:row>
    <x:row r="19" ht="44" customHeight="1">
      <x:c r="A19" s="24" t="n">
        <x:v>9</x:v>
      </x:c>
      <x:c r="B19" s="24" t="str">
        <x:v>113동</x:v>
      </x:c>
      <x:c r="C19" s="13" t="str">
        <x:v>벽체·기둥 철근배근</x:v>
      </x:c>
      <x:c r="D19" s="13" t="str">
        <x:v>RB-D16</x:v>
      </x:c>
      <x:c r="E19" s="13" t="str">
        <x:v>철근</x:v>
      </x:c>
      <x:c r="F19" s="13" t="str">
        <x:v>SD500 D16 / 부위별 공장 가공</x:v>
      </x:c>
      <x:c r="G19" s="13" t="str">
        <x:v>kg</x:v>
      </x:c>
      <x:c r="H19" s="17" t="n">
        <x:v>2910</x:v>
      </x:c>
      <x:c r="I19" s="26" t="n">
        <x:v>43</x:v>
      </x:c>
      <x:c r="J19" s="26" t="n">
        <x:v>47</x:v>
      </x:c>
      <x:c r="K19" s="26" t="n">
        <x:v>42</x:v>
      </x:c>
      <x:c r="L19" s="13" t="str">
        <x:v>철근</x:v>
      </x:c>
      <x:c r="M19" s="13" t="str">
        <x:v>D16</x:v>
      </x:c>
      <x:c r="N19" s="24" t="str">
        <x:v>반영</x:v>
      </x:c>
      <x:c r="O19" s="29" t="n">
        <x:f>IF(AND(N19="반영",ISNUMBER(H19)),H19,"미산정")</x:f>
        <x:v>2910</x:v>
      </x:c>
      <x:c r="P19" s="24" t="str">
        <x:v>미제공</x:v>
      </x:c>
      <x:c r="Q19" s="13" t="str">
        <x:v>등록 품목·규격과 일치</x:v>
      </x:c>
      <x:c r="R19" s="65" t="n">
        <x:f>K19</x:f>
        <x:v>42</x:v>
      </x:c>
      <x:c r="S19" s="67" t="n">
        <x:f>MAX(0,MIN(1,($B$15-I19+1)/(J19-I19+1)))</x:f>
        <x:v>0</x:v>
      </x:c>
      <x:c r="T19" s="71" t="n">
        <x:f>IF(ISNUMBER(O19),IF(R19&lt;=$B$15,O19,0),"미산정")</x:f>
        <x:v>0</x:v>
      </x:c>
      <x:c r="U19" s="71" t="n">
        <x:f>IF(ISNUMBER(O19),MIN(T19,ROUND(O19*S19,0)),"미산정")</x:f>
        <x:v>0</x:v>
      </x:c>
      <x:c r="V19" s="71" t="n">
        <x:f>IF(ISNUMBER(O19),T19-U19,"미산정")</x:f>
        <x:v>0</x:v>
      </x:c>
      <x:c r="W19" s="71" t="n">
        <x:f>IF(ISNUMBER(O19),O19-T19,"미산정")</x:f>
        <x:v>2910</x:v>
      </x:c>
      <x:c r="X19" s="71" t="n">
        <x:f>IF(ISNUMBER(O19),O19-U19,"미산정")</x:f>
        <x:v>2910</x:v>
      </x:c>
    </x:row>
    <x:row r="20" ht="44" customHeight="1">
      <x:c r="A20" s="25" t="n">
        <x:v>10</x:v>
      </x:c>
      <x:c r="B20" s="25" t="str">
        <x:v>113동</x:v>
      </x:c>
      <x:c r="C20" s="6" t="str">
        <x:v>벽체·기둥 철근배근</x:v>
      </x:c>
      <x:c r="D20" s="6" t="str">
        <x:v>RB-D19</x:v>
      </x:c>
      <x:c r="E20" s="6" t="str">
        <x:v>철근</x:v>
      </x:c>
      <x:c r="F20" s="6" t="str">
        <x:v>SD500 D19 / 부위별 공장 가공</x:v>
      </x:c>
      <x:c r="G20" s="6" t="str">
        <x:v>kg</x:v>
      </x:c>
      <x:c r="H20" s="18" t="n">
        <x:v>2910</x:v>
      </x:c>
      <x:c r="I20" s="27" t="n">
        <x:v>43</x:v>
      </x:c>
      <x:c r="J20" s="27" t="n">
        <x:v>47</x:v>
      </x:c>
      <x:c r="K20" s="27" t="n">
        <x:v>42</x:v>
      </x:c>
      <x:c r="L20" s="6" t="str">
        <x:v>철근</x:v>
      </x:c>
      <x:c r="M20" s="6" t="str">
        <x:v>D19</x:v>
      </x:c>
      <x:c r="N20" s="25" t="str">
        <x:v>반영</x:v>
      </x:c>
      <x:c r="O20" s="30" t="n">
        <x:f>IF(AND(N20="반영",ISNUMBER(H20)),H20,"미산정")</x:f>
        <x:v>2910</x:v>
      </x:c>
      <x:c r="P20" s="25" t="str">
        <x:v>미제공</x:v>
      </x:c>
      <x:c r="Q20" s="6" t="str">
        <x:v>등록 품목·규격과 일치</x:v>
      </x:c>
      <x:c r="R20" s="65" t="n">
        <x:f>K20</x:f>
        <x:v>42</x:v>
      </x:c>
      <x:c r="S20" s="68" t="n">
        <x:f>MAX(0,MIN(1,($B$15-I20+1)/(J20-I20+1)))</x:f>
        <x:v>0</x:v>
      </x:c>
      <x:c r="T20" s="72" t="n">
        <x:f>IF(ISNUMBER(O20),IF(R20&lt;=$B$15,O20,0),"미산정")</x:f>
        <x:v>0</x:v>
      </x:c>
      <x:c r="U20" s="72" t="n">
        <x:f>IF(ISNUMBER(O20),MIN(T20,ROUND(O20*S20,0)),"미산정")</x:f>
        <x:v>0</x:v>
      </x:c>
      <x:c r="V20" s="72" t="n">
        <x:f>IF(ISNUMBER(O20),T20-U20,"미산정")</x:f>
        <x:v>0</x:v>
      </x:c>
      <x:c r="W20" s="72" t="n">
        <x:f>IF(ISNUMBER(O20),O20-T20,"미산정")</x:f>
        <x:v>2910</x:v>
      </x:c>
      <x:c r="X20" s="72" t="n">
        <x:f>IF(ISNUMBER(O20),O20-U20,"미산정")</x:f>
        <x:v>2910</x:v>
      </x:c>
    </x:row>
    <x:row r="21" ht="44" customHeight="1">
      <x:c r="A21" s="24" t="n">
        <x:v>11</x:v>
      </x:c>
      <x:c r="B21" s="24" t="str">
        <x:v>113동</x:v>
      </x:c>
      <x:c r="C21" s="13" t="str">
        <x:v>벽체·기둥 철근배근</x:v>
      </x:c>
      <x:c r="D21" s="13" t="str">
        <x:v>RB-D22</x:v>
      </x:c>
      <x:c r="E21" s="13" t="str">
        <x:v>철근</x:v>
      </x:c>
      <x:c r="F21" s="13" t="str">
        <x:v>SD500 D22 / 부위별 공장 가공</x:v>
      </x:c>
      <x:c r="G21" s="13" t="str">
        <x:v>kg</x:v>
      </x:c>
      <x:c r="H21" s="17" t="n">
        <x:v>3880</x:v>
      </x:c>
      <x:c r="I21" s="26" t="n">
        <x:v>43</x:v>
      </x:c>
      <x:c r="J21" s="26" t="n">
        <x:v>47</x:v>
      </x:c>
      <x:c r="K21" s="26" t="n">
        <x:v>42</x:v>
      </x:c>
      <x:c r="L21" s="13" t="str">
        <x:v>철근</x:v>
      </x:c>
      <x:c r="M21" s="13" t="str">
        <x:v>D22</x:v>
      </x:c>
      <x:c r="N21" s="24" t="str">
        <x:v>반영</x:v>
      </x:c>
      <x:c r="O21" s="29" t="n">
        <x:f>IF(AND(N21="반영",ISNUMBER(H21)),H21,"미산정")</x:f>
        <x:v>3880</x:v>
      </x:c>
      <x:c r="P21" s="24" t="str">
        <x:v>미제공</x:v>
      </x:c>
      <x:c r="Q21" s="13" t="str">
        <x:v>등록 품목·규격과 일치</x:v>
      </x:c>
      <x:c r="R21" s="65" t="n">
        <x:f>K21</x:f>
        <x:v>42</x:v>
      </x:c>
      <x:c r="S21" s="67" t="n">
        <x:f>MAX(0,MIN(1,($B$15-I21+1)/(J21-I21+1)))</x:f>
        <x:v>0</x:v>
      </x:c>
      <x:c r="T21" s="71" t="n">
        <x:f>IF(ISNUMBER(O21),IF(R21&lt;=$B$15,O21,0),"미산정")</x:f>
        <x:v>0</x:v>
      </x:c>
      <x:c r="U21" s="71" t="n">
        <x:f>IF(ISNUMBER(O21),MIN(T21,ROUND(O21*S21,0)),"미산정")</x:f>
        <x:v>0</x:v>
      </x:c>
      <x:c r="V21" s="71" t="n">
        <x:f>IF(ISNUMBER(O21),T21-U21,"미산정")</x:f>
        <x:v>0</x:v>
      </x:c>
      <x:c r="W21" s="71" t="n">
        <x:f>IF(ISNUMBER(O21),O21-T21,"미산정")</x:f>
        <x:v>3880</x:v>
      </x:c>
      <x:c r="X21" s="71" t="n">
        <x:f>IF(ISNUMBER(O21),O21-U21,"미산정")</x:f>
        <x:v>3880</x:v>
      </x:c>
    </x:row>
    <x:row r="22" ht="44" customHeight="1">
      <x:c r="A22" s="25" t="n">
        <x:v>12</x:v>
      </x:c>
      <x:c r="B22" s="25" t="str">
        <x:v>113동</x:v>
      </x:c>
      <x:c r="C22" s="6" t="str">
        <x:v>벽체·기둥 철근배근</x:v>
      </x:c>
      <x:c r="D22" s="6" t="str">
        <x:v>RB-D25</x:v>
      </x:c>
      <x:c r="E22" s="6" t="str">
        <x:v>철근</x:v>
      </x:c>
      <x:c r="F22" s="6" t="str">
        <x:v>SD500 D25 / 부위별 공장 가공</x:v>
      </x:c>
      <x:c r="G22" s="6" t="str">
        <x:v>kg</x:v>
      </x:c>
      <x:c r="H22" s="18" t="n">
        <x:v>5810</x:v>
      </x:c>
      <x:c r="I22" s="27" t="n">
        <x:v>43</x:v>
      </x:c>
      <x:c r="J22" s="27" t="n">
        <x:v>47</x:v>
      </x:c>
      <x:c r="K22" s="27" t="n">
        <x:v>42</x:v>
      </x:c>
      <x:c r="L22" s="6" t="str">
        <x:v>철근</x:v>
      </x:c>
      <x:c r="M22" s="6" t="str">
        <x:v>D25</x:v>
      </x:c>
      <x:c r="N22" s="25" t="str">
        <x:v>반영</x:v>
      </x:c>
      <x:c r="O22" s="30" t="n">
        <x:f>IF(AND(N22="반영",ISNUMBER(H22)),H22,"미산정")</x:f>
        <x:v>5810</x:v>
      </x:c>
      <x:c r="P22" s="25" t="str">
        <x:v>미제공</x:v>
      </x:c>
      <x:c r="Q22" s="6" t="str">
        <x:v>등록 품목·규격과 일치</x:v>
      </x:c>
      <x:c r="R22" s="65" t="n">
        <x:f>K22</x:f>
        <x:v>42</x:v>
      </x:c>
      <x:c r="S22" s="68" t="n">
        <x:f>MAX(0,MIN(1,($B$15-I22+1)/(J22-I22+1)))</x:f>
        <x:v>0</x:v>
      </x:c>
      <x:c r="T22" s="72" t="n">
        <x:f>IF(ISNUMBER(O22),IF(R22&lt;=$B$15,O22,0),"미산정")</x:f>
        <x:v>0</x:v>
      </x:c>
      <x:c r="U22" s="72" t="n">
        <x:f>IF(ISNUMBER(O22),MIN(T22,ROUND(O22*S22,0)),"미산정")</x:f>
        <x:v>0</x:v>
      </x:c>
      <x:c r="V22" s="72" t="n">
        <x:f>IF(ISNUMBER(O22),T22-U22,"미산정")</x:f>
        <x:v>0</x:v>
      </x:c>
      <x:c r="W22" s="72" t="n">
        <x:f>IF(ISNUMBER(O22),O22-T22,"미산정")</x:f>
        <x:v>5810</x:v>
      </x:c>
      <x:c r="X22" s="72" t="n">
        <x:f>IF(ISNUMBER(O22),O22-U22,"미산정")</x:f>
        <x:v>5810</x:v>
      </x:c>
    </x:row>
    <x:row r="23" ht="44" customHeight="1">
      <x:c r="A23" s="24" t="n">
        <x:v>13</x:v>
      </x:c>
      <x:c r="B23" s="24" t="str">
        <x:v>113동</x:v>
      </x:c>
      <x:c r="C23" s="13" t="str">
        <x:v>수직부 거푸집 설치</x:v>
      </x:c>
      <x:c r="D23" s="13" t="str">
        <x:v>EF-5012</x:v>
      </x:c>
      <x:c r="E23" s="13" t="str">
        <x:v>유로폼</x:v>
      </x:c>
      <x:c r="F23" s="13" t="str">
        <x:v>500×1,200mm</x:v>
      </x:c>
      <x:c r="G23" s="13" t="str">
        <x:v>장</x:v>
      </x:c>
      <x:c r="H23" s="17" t="n">
        <x:v>765</x:v>
      </x:c>
      <x:c r="I23" s="26" t="n">
        <x:v>48</x:v>
      </x:c>
      <x:c r="J23" s="26" t="n">
        <x:v>54</x:v>
      </x:c>
      <x:c r="K23" s="26" t="n">
        <x:v>47</x:v>
      </x:c>
      <x:c r="L23" s="13" t="str">
        <x:v>유로폼</x:v>
      </x:c>
      <x:c r="M23" s="13" t="str">
        <x:v>500x1200</x:v>
      </x:c>
      <x:c r="N23" s="24" t="str">
        <x:v>반영</x:v>
      </x:c>
      <x:c r="O23" s="29" t="n">
        <x:f>IF(AND(N23="반영",ISNUMBER(H23)),H23,"미산정")</x:f>
        <x:v>765</x:v>
      </x:c>
      <x:c r="P23" s="24" t="str">
        <x:v>해당 없음</x:v>
      </x:c>
      <x:c r="Q23" s="13" t="str">
        <x:v>등록 품목·규격과 일치</x:v>
      </x:c>
      <x:c r="R23" s="65" t="n">
        <x:f>K23</x:f>
        <x:v>47</x:v>
      </x:c>
      <x:c r="S23" s="67" t="n">
        <x:f>MAX(0,MIN(1,($B$15-I23+1)/(J23-I23+1)))</x:f>
        <x:v>0</x:v>
      </x:c>
      <x:c r="T23" s="71" t="n">
        <x:f>IF(ISNUMBER(O23),IF(R23&lt;=$B$15,O23,0),"미산정")</x:f>
        <x:v>0</x:v>
      </x:c>
      <x:c r="U23" s="71" t="n">
        <x:f>IF(ISNUMBER(O23),MIN(T23,ROUND(O23*S23,0)),"미산정")</x:f>
        <x:v>0</x:v>
      </x:c>
      <x:c r="V23" s="71" t="n">
        <x:f>IF(ISNUMBER(O23),T23-U23,"미산정")</x:f>
        <x:v>0</x:v>
      </x:c>
      <x:c r="W23" s="71" t="n">
        <x:f>IF(ISNUMBER(O23),O23-T23,"미산정")</x:f>
        <x:v>765</x:v>
      </x:c>
      <x:c r="X23" s="71" t="n">
        <x:f>IF(ISNUMBER(O23),O23-U23,"미산정")</x:f>
        <x:v>765</x:v>
      </x:c>
    </x:row>
    <x:row r="24" ht="44" customHeight="1">
      <x:c r="A24" s="25" t="n">
        <x:v>14</x:v>
      </x:c>
      <x:c r="B24" s="25" t="str">
        <x:v>113동</x:v>
      </x:c>
      <x:c r="C24" s="6" t="str">
        <x:v>수직부 거푸집 설치</x:v>
      </x:c>
      <x:c r="D24" s="6" t="str">
        <x:v>EF-6012</x:v>
      </x:c>
      <x:c r="E24" s="6" t="str">
        <x:v>유로폼</x:v>
      </x:c>
      <x:c r="F24" s="6" t="str">
        <x:v>600×1,200mm</x:v>
      </x:c>
      <x:c r="G24" s="6" t="str">
        <x:v>장</x:v>
      </x:c>
      <x:c r="H24" s="18" t="n">
        <x:v>266</x:v>
      </x:c>
      <x:c r="I24" s="27" t="n">
        <x:v>48</x:v>
      </x:c>
      <x:c r="J24" s="27" t="n">
        <x:v>54</x:v>
      </x:c>
      <x:c r="K24" s="27" t="n">
        <x:v>47</x:v>
      </x:c>
      <x:c r="L24" s="6" t="str">
        <x:v>유로폼</x:v>
      </x:c>
      <x:c r="M24" s="6" t="str">
        <x:v>600x1200</x:v>
      </x:c>
      <x:c r="N24" s="25" t="str">
        <x:v>반영</x:v>
      </x:c>
      <x:c r="O24" s="30" t="n">
        <x:f>IF(AND(N24="반영",ISNUMBER(H24)),H24,"미산정")</x:f>
        <x:v>266</x:v>
      </x:c>
      <x:c r="P24" s="25" t="str">
        <x:v>해당 없음</x:v>
      </x:c>
      <x:c r="Q24" s="6" t="str">
        <x:v>등록 품목·규격과 일치</x:v>
      </x:c>
      <x:c r="R24" s="65" t="n">
        <x:f>K24</x:f>
        <x:v>47</x:v>
      </x:c>
      <x:c r="S24" s="68" t="n">
        <x:f>MAX(0,MIN(1,($B$15-I24+1)/(J24-I24+1)))</x:f>
        <x:v>0</x:v>
      </x:c>
      <x:c r="T24" s="72" t="n">
        <x:f>IF(ISNUMBER(O24),IF(R24&lt;=$B$15,O24,0),"미산정")</x:f>
        <x:v>0</x:v>
      </x:c>
      <x:c r="U24" s="72" t="n">
        <x:f>IF(ISNUMBER(O24),MIN(T24,ROUND(O24*S24,0)),"미산정")</x:f>
        <x:v>0</x:v>
      </x:c>
      <x:c r="V24" s="72" t="n">
        <x:f>IF(ISNUMBER(O24),T24-U24,"미산정")</x:f>
        <x:v>0</x:v>
      </x:c>
      <x:c r="W24" s="72" t="n">
        <x:f>IF(ISNUMBER(O24),O24-T24,"미산정")</x:f>
        <x:v>266</x:v>
      </x:c>
      <x:c r="X24" s="72" t="n">
        <x:f>IF(ISNUMBER(O24),O24-U24,"미산정")</x:f>
        <x:v>266</x:v>
      </x:c>
    </x:row>
    <x:row r="25" ht="44" customHeight="1">
      <x:c r="A25" s="24" t="n">
        <x:v>15</x:v>
      </x:c>
      <x:c r="B25" s="24" t="str">
        <x:v>113동</x:v>
      </x:c>
      <x:c r="C25" s="13" t="str">
        <x:v>수직부 거푸집 설치</x:v>
      </x:c>
      <x:c r="D25" s="13" t="str">
        <x:v>EF-3012</x:v>
      </x:c>
      <x:c r="E25" s="13" t="str">
        <x:v>유로폼</x:v>
      </x:c>
      <x:c r="F25" s="13" t="str">
        <x:v>300×1,200mm</x:v>
      </x:c>
      <x:c r="G25" s="13" t="str">
        <x:v>장</x:v>
      </x:c>
      <x:c r="H25" s="17" t="n">
        <x:v>213</x:v>
      </x:c>
      <x:c r="I25" s="26" t="n">
        <x:v>48</x:v>
      </x:c>
      <x:c r="J25" s="26" t="n">
        <x:v>54</x:v>
      </x:c>
      <x:c r="K25" s="26" t="n">
        <x:v>47</x:v>
      </x:c>
      <x:c r="L25" s="13" t="str">
        <x:v>유로폼</x:v>
      </x:c>
      <x:c r="M25" s="13" t="str">
        <x:v>300x1200</x:v>
      </x:c>
      <x:c r="N25" s="24" t="str">
        <x:v>반영</x:v>
      </x:c>
      <x:c r="O25" s="29" t="n">
        <x:f>IF(AND(N25="반영",ISNUMBER(H25)),H25,"미산정")</x:f>
        <x:v>213</x:v>
      </x:c>
      <x:c r="P25" s="24" t="str">
        <x:v>해당 없음</x:v>
      </x:c>
      <x:c r="Q25" s="13" t="str">
        <x:v>등록 품목·규격과 일치</x:v>
      </x:c>
      <x:c r="R25" s="65" t="n">
        <x:f>K25</x:f>
        <x:v>47</x:v>
      </x:c>
      <x:c r="S25" s="67" t="n">
        <x:f>MAX(0,MIN(1,($B$15-I25+1)/(J25-I25+1)))</x:f>
        <x:v>0</x:v>
      </x:c>
      <x:c r="T25" s="71" t="n">
        <x:f>IF(ISNUMBER(O25),IF(R25&lt;=$B$15,O25,0),"미산정")</x:f>
        <x:v>0</x:v>
      </x:c>
      <x:c r="U25" s="71" t="n">
        <x:f>IF(ISNUMBER(O25),MIN(T25,ROUND(O25*S25,0)),"미산정")</x:f>
        <x:v>0</x:v>
      </x:c>
      <x:c r="V25" s="71" t="n">
        <x:f>IF(ISNUMBER(O25),T25-U25,"미산정")</x:f>
        <x:v>0</x:v>
      </x:c>
      <x:c r="W25" s="71" t="n">
        <x:f>IF(ISNUMBER(O25),O25-T25,"미산정")</x:f>
        <x:v>213</x:v>
      </x:c>
      <x:c r="X25" s="71" t="n">
        <x:f>IF(ISNUMBER(O25),O25-U25,"미산정")</x:f>
        <x:v>213</x:v>
      </x:c>
    </x:row>
    <x:row r="26" ht="44" customHeight="1">
      <x:c r="A26" s="25" t="n">
        <x:v>16</x:v>
      </x:c>
      <x:c r="B26" s="25" t="str">
        <x:v>113동</x:v>
      </x:c>
      <x:c r="C26" s="6" t="str">
        <x:v>수직부 거푸집 설치</x:v>
      </x:c>
      <x:c r="D26" s="6" t="str">
        <x:v>EF-5006</x:v>
      </x:c>
      <x:c r="E26" s="6" t="str">
        <x:v>유로폼</x:v>
      </x:c>
      <x:c r="F26" s="6" t="str">
        <x:v>500×600mm</x:v>
      </x:c>
      <x:c r="G26" s="6" t="str">
        <x:v>장</x:v>
      </x:c>
      <x:c r="H26" s="18" t="n">
        <x:v>128</x:v>
      </x:c>
      <x:c r="I26" s="27" t="n">
        <x:v>48</x:v>
      </x:c>
      <x:c r="J26" s="27" t="n">
        <x:v>54</x:v>
      </x:c>
      <x:c r="K26" s="27" t="n">
        <x:v>47</x:v>
      </x:c>
      <x:c r="L26" s="6" t="str">
        <x:v>미등록</x:v>
      </x:c>
      <x:c r="M26" s="6" t="str">
        <x:v>미산정</x:v>
      </x:c>
      <x:c r="N26" s="28" t="str">
        <x:v>미산정</x:v>
      </x:c>
      <x:c r="O26" s="31" t="str">
        <x:f>IF(AND(N26="반영",ISNUMBER(H26)),H26,"미산정")</x:f>
        <x:v>미산정</x:v>
      </x:c>
      <x:c r="P26" s="28" t="str">
        <x:v>해당 없음</x:v>
      </x:c>
      <x:c r="Q26" s="14" t="str">
        <x:v>유로폼 500×600은 현재 웹 등록 규격에 없음</x:v>
      </x:c>
      <x:c r="R26" s="65" t="n">
        <x:f>K26</x:f>
        <x:v>47</x:v>
      </x:c>
      <x:c r="S26" s="68" t="n">
        <x:f>MAX(0,MIN(1,($B$15-I26+1)/(J26-I26+1)))</x:f>
        <x:v>0</x:v>
      </x:c>
      <x:c r="T26" s="72" t="str">
        <x:f>IF(ISNUMBER(O26),IF(R26&lt;=$B$15,O26,0),"미산정")</x:f>
        <x:v>미산정</x:v>
      </x:c>
      <x:c r="U26" s="72" t="str">
        <x:f>IF(ISNUMBER(O26),MIN(T26,ROUND(O26*S26,0)),"미산정")</x:f>
        <x:v>미산정</x:v>
      </x:c>
      <x:c r="V26" s="72" t="str">
        <x:f>IF(ISNUMBER(O26),T26-U26,"미산정")</x:f>
        <x:v>미산정</x:v>
      </x:c>
      <x:c r="W26" s="72" t="str">
        <x:f>IF(ISNUMBER(O26),O26-T26,"미산정")</x:f>
        <x:v>미산정</x:v>
      </x:c>
      <x:c r="X26" s="72" t="str">
        <x:f>IF(ISNUMBER(O26),O26-U26,"미산정")</x:f>
        <x:v>미산정</x:v>
      </x:c>
    </x:row>
    <x:row r="27" ht="44" customHeight="1">
      <x:c r="A27" s="24" t="n">
        <x:v>17</x:v>
      </x:c>
      <x:c r="B27" s="24" t="str">
        <x:v>113동</x:v>
      </x:c>
      <x:c r="C27" s="13" t="str">
        <x:v>수직부 거푸집 설치</x:v>
      </x:c>
      <x:c r="D27" s="13" t="str">
        <x:v>PW-1224</x:v>
      </x:c>
      <x:c r="E27" s="13" t="str">
        <x:v>코팅합판</x:v>
      </x:c>
      <x:c r="F27" s="13" t="str">
        <x:v>1,220×2,440×12mm</x:v>
      </x:c>
      <x:c r="G27" s="13" t="str">
        <x:v>장</x:v>
      </x:c>
      <x:c r="H27" s="17" t="n">
        <x:v>12</x:v>
      </x:c>
      <x:c r="I27" s="26" t="n">
        <x:v>48</x:v>
      </x:c>
      <x:c r="J27" s="26" t="n">
        <x:v>54</x:v>
      </x:c>
      <x:c r="K27" s="26" t="n">
        <x:v>47</x:v>
      </x:c>
      <x:c r="L27" s="13" t="str">
        <x:v>미등록</x:v>
      </x:c>
      <x:c r="M27" s="13" t="str">
        <x:v>미산정</x:v>
      </x:c>
      <x:c r="N27" s="28" t="str">
        <x:v>미산정</x:v>
      </x:c>
      <x:c r="O27" s="31" t="str">
        <x:f>IF(AND(N27="반영",ISNUMBER(H27)),H27,"미산정")</x:f>
        <x:v>미산정</x:v>
      </x:c>
      <x:c r="P27" s="28" t="str">
        <x:v>해당 없음</x:v>
      </x:c>
      <x:c r="Q27" s="14" t="str">
        <x:v>현재 웹 등록 품목에 없음. 다른 품목으로 대체하지 않음</x:v>
      </x:c>
      <x:c r="R27" s="65" t="n">
        <x:f>K27</x:f>
        <x:v>47</x:v>
      </x:c>
      <x:c r="S27" s="67" t="n">
        <x:f>MAX(0,MIN(1,($B$15-I27+1)/(J27-I27+1)))</x:f>
        <x:v>0</x:v>
      </x:c>
      <x:c r="T27" s="71" t="str">
        <x:f>IF(ISNUMBER(O27),IF(R27&lt;=$B$15,O27,0),"미산정")</x:f>
        <x:v>미산정</x:v>
      </x:c>
      <x:c r="U27" s="71" t="str">
        <x:f>IF(ISNUMBER(O27),MIN(T27,ROUND(O27*S27,0)),"미산정")</x:f>
        <x:v>미산정</x:v>
      </x:c>
      <x:c r="V27" s="71" t="str">
        <x:f>IF(ISNUMBER(O27),T27-U27,"미산정")</x:f>
        <x:v>미산정</x:v>
      </x:c>
      <x:c r="W27" s="71" t="str">
        <x:f>IF(ISNUMBER(O27),O27-T27,"미산정")</x:f>
        <x:v>미산정</x:v>
      </x:c>
      <x:c r="X27" s="71" t="str">
        <x:f>IF(ISNUMBER(O27),O27-U27,"미산정")</x:f>
        <x:v>미산정</x:v>
      </x:c>
    </x:row>
    <x:row r="28" ht="44" customHeight="1">
      <x:c r="A28" s="25" t="n">
        <x:v>18</x:v>
      </x:c>
      <x:c r="B28" s="25" t="str">
        <x:v>113동</x:v>
      </x:c>
      <x:c r="C28" s="6" t="str">
        <x:v>수직부 거푸집 설치</x:v>
      </x:c>
      <x:c r="D28" s="6" t="str">
        <x:v>IC-1012</x:v>
      </x:c>
      <x:c r="E28" s="6" t="str">
        <x:v>인코너</x:v>
      </x:c>
      <x:c r="F28" s="6" t="str">
        <x:v>100×100×1,200mm</x:v>
      </x:c>
      <x:c r="G28" s="6" t="str">
        <x:v>개</x:v>
      </x:c>
      <x:c r="H28" s="18" t="n">
        <x:v>60</x:v>
      </x:c>
      <x:c r="I28" s="27" t="n">
        <x:v>48</x:v>
      </x:c>
      <x:c r="J28" s="27" t="n">
        <x:v>54</x:v>
      </x:c>
      <x:c r="K28" s="27" t="n">
        <x:v>47</x:v>
      </x:c>
      <x:c r="L28" s="6" t="str">
        <x:v>미등록</x:v>
      </x:c>
      <x:c r="M28" s="6" t="str">
        <x:v>미산정</x:v>
      </x:c>
      <x:c r="N28" s="28" t="str">
        <x:v>미산정</x:v>
      </x:c>
      <x:c r="O28" s="31" t="str">
        <x:f>IF(AND(N28="반영",ISNUMBER(H28)),H28,"미산정")</x:f>
        <x:v>미산정</x:v>
      </x:c>
      <x:c r="P28" s="28" t="str">
        <x:v>해당 없음</x:v>
      </x:c>
      <x:c r="Q28" s="14" t="str">
        <x:v>현재 웹 등록 품목에 없음. 다른 품목으로 대체하지 않음</x:v>
      </x:c>
      <x:c r="R28" s="65" t="n">
        <x:f>K28</x:f>
        <x:v>47</x:v>
      </x:c>
      <x:c r="S28" s="68" t="n">
        <x:f>MAX(0,MIN(1,($B$15-I28+1)/(J28-I28+1)))</x:f>
        <x:v>0</x:v>
      </x:c>
      <x:c r="T28" s="72" t="str">
        <x:f>IF(ISNUMBER(O28),IF(R28&lt;=$B$15,O28,0),"미산정")</x:f>
        <x:v>미산정</x:v>
      </x:c>
      <x:c r="U28" s="72" t="str">
        <x:f>IF(ISNUMBER(O28),MIN(T28,ROUND(O28*S28,0)),"미산정")</x:f>
        <x:v>미산정</x:v>
      </x:c>
      <x:c r="V28" s="72" t="str">
        <x:f>IF(ISNUMBER(O28),T28-U28,"미산정")</x:f>
        <x:v>미산정</x:v>
      </x:c>
      <x:c r="W28" s="72" t="str">
        <x:f>IF(ISNUMBER(O28),O28-T28,"미산정")</x:f>
        <x:v>미산정</x:v>
      </x:c>
      <x:c r="X28" s="72" t="str">
        <x:f>IF(ISNUMBER(O28),O28-U28,"미산정")</x:f>
        <x:v>미산정</x:v>
      </x:c>
    </x:row>
    <x:row r="29" ht="44" customHeight="1">
      <x:c r="A29" s="24" t="n">
        <x:v>19</x:v>
      </x:c>
      <x:c r="B29" s="24" t="str">
        <x:v>113동</x:v>
      </x:c>
      <x:c r="C29" s="13" t="str">
        <x:v>수직부 거푸집 설치</x:v>
      </x:c>
      <x:c r="D29" s="13" t="str">
        <x:v>OC-12</x:v>
      </x:c>
      <x:c r="E29" s="13" t="str">
        <x:v>아웃코너</x:v>
      </x:c>
      <x:c r="F29" s="13" t="str">
        <x:v>길이 1,200mm</x:v>
      </x:c>
      <x:c r="G29" s="13" t="str">
        <x:v>개</x:v>
      </x:c>
      <x:c r="H29" s="17" t="n">
        <x:v>320</x:v>
      </x:c>
      <x:c r="I29" s="26" t="n">
        <x:v>48</x:v>
      </x:c>
      <x:c r="J29" s="26" t="n">
        <x:v>54</x:v>
      </x:c>
      <x:c r="K29" s="26" t="n">
        <x:v>47</x:v>
      </x:c>
      <x:c r="L29" s="13" t="str">
        <x:v>미등록</x:v>
      </x:c>
      <x:c r="M29" s="13" t="str">
        <x:v>미산정</x:v>
      </x:c>
      <x:c r="N29" s="28" t="str">
        <x:v>미산정</x:v>
      </x:c>
      <x:c r="O29" s="31" t="str">
        <x:f>IF(AND(N29="반영",ISNUMBER(H29)),H29,"미산정")</x:f>
        <x:v>미산정</x:v>
      </x:c>
      <x:c r="P29" s="28" t="str">
        <x:v>해당 없음</x:v>
      </x:c>
      <x:c r="Q29" s="14" t="str">
        <x:v>현재 웹 등록 품목에 없음. 다른 품목으로 대체하지 않음</x:v>
      </x:c>
      <x:c r="R29" s="65" t="n">
        <x:f>K29</x:f>
        <x:v>47</x:v>
      </x:c>
      <x:c r="S29" s="67" t="n">
        <x:f>MAX(0,MIN(1,($B$15-I29+1)/(J29-I29+1)))</x:f>
        <x:v>0</x:v>
      </x:c>
      <x:c r="T29" s="71" t="str">
        <x:f>IF(ISNUMBER(O29),IF(R29&lt;=$B$15,O29,0),"미산정")</x:f>
        <x:v>미산정</x:v>
      </x:c>
      <x:c r="U29" s="71" t="str">
        <x:f>IF(ISNUMBER(O29),MIN(T29,ROUND(O29*S29,0)),"미산정")</x:f>
        <x:v>미산정</x:v>
      </x:c>
      <x:c r="V29" s="71" t="str">
        <x:f>IF(ISNUMBER(O29),T29-U29,"미산정")</x:f>
        <x:v>미산정</x:v>
      </x:c>
      <x:c r="W29" s="71" t="str">
        <x:f>IF(ISNUMBER(O29),O29-T29,"미산정")</x:f>
        <x:v>미산정</x:v>
      </x:c>
      <x:c r="X29" s="71" t="str">
        <x:f>IF(ISNUMBER(O29),O29-U29,"미산정")</x:f>
        <x:v>미산정</x:v>
      </x:c>
    </x:row>
    <x:row r="30" ht="44" customHeight="1">
      <x:c r="A30" s="25" t="n">
        <x:v>20</x:v>
      </x:c>
      <x:c r="B30" s="25" t="str">
        <x:v>113동</x:v>
      </x:c>
      <x:c r="C30" s="6" t="str">
        <x:v>시스템동바리 조립</x:v>
      </x:c>
      <x:c r="D30" s="6" t="str">
        <x:v>SV-1725</x:v>
      </x:c>
      <x:c r="E30" s="6" t="str">
        <x:v>수직재</x:v>
      </x:c>
      <x:c r="F30" s="6" t="str">
        <x:v>Ø60.5 / L=1,725mm</x:v>
      </x:c>
      <x:c r="G30" s="6" t="str">
        <x:v>본</x:v>
      </x:c>
      <x:c r="H30" s="18" t="n">
        <x:v>843</x:v>
      </x:c>
      <x:c r="I30" s="27" t="n">
        <x:v>55</x:v>
      </x:c>
      <x:c r="J30" s="27" t="n">
        <x:v>57</x:v>
      </x:c>
      <x:c r="K30" s="27" t="n">
        <x:v>54</x:v>
      </x:c>
      <x:c r="L30" s="6" t="str">
        <x:v>미등록</x:v>
      </x:c>
      <x:c r="M30" s="6" t="str">
        <x:v>미산정</x:v>
      </x:c>
      <x:c r="N30" s="28" t="str">
        <x:v>미산정</x:v>
      </x:c>
      <x:c r="O30" s="31" t="str">
        <x:f>IF(AND(N30="반영",ISNUMBER(H30)),H30,"미산정")</x:f>
        <x:v>미산정</x:v>
      </x:c>
      <x:c r="P30" s="28" t="str">
        <x:v>해당 없음</x:v>
      </x:c>
      <x:c r="Q30" s="14" t="str">
        <x:v>원자료 치수·DSD 코드와 웹 P·H·OB 규격의 동일성 미확인</x:v>
      </x:c>
      <x:c r="R30" s="65" t="n">
        <x:f>K30</x:f>
        <x:v>54</x:v>
      </x:c>
      <x:c r="S30" s="68" t="n">
        <x:f>MAX(0,MIN(1,($B$15-I30+1)/(J30-I30+1)))</x:f>
        <x:v>0</x:v>
      </x:c>
      <x:c r="T30" s="72" t="str">
        <x:f>IF(ISNUMBER(O30),IF(R30&lt;=$B$15,O30,0),"미산정")</x:f>
        <x:v>미산정</x:v>
      </x:c>
      <x:c r="U30" s="72" t="str">
        <x:f>IF(ISNUMBER(O30),MIN(T30,ROUND(O30*S30,0)),"미산정")</x:f>
        <x:v>미산정</x:v>
      </x:c>
      <x:c r="V30" s="72" t="str">
        <x:f>IF(ISNUMBER(O30),T30-U30,"미산정")</x:f>
        <x:v>미산정</x:v>
      </x:c>
      <x:c r="W30" s="72" t="str">
        <x:f>IF(ISNUMBER(O30),O30-T30,"미산정")</x:f>
        <x:v>미산정</x:v>
      </x:c>
      <x:c r="X30" s="72" t="str">
        <x:f>IF(ISNUMBER(O30),O30-U30,"미산정")</x:f>
        <x:v>미산정</x:v>
      </x:c>
    </x:row>
    <x:row r="31" ht="44" customHeight="1">
      <x:c r="A31" s="24" t="n">
        <x:v>21</x:v>
      </x:c>
      <x:c r="B31" s="24" t="str">
        <x:v>113동</x:v>
      </x:c>
      <x:c r="C31" s="13" t="str">
        <x:v>시스템동바리 조립</x:v>
      </x:c>
      <x:c r="D31" s="13" t="str">
        <x:v>SV-1291</x:v>
      </x:c>
      <x:c r="E31" s="13" t="str">
        <x:v>수직재</x:v>
      </x:c>
      <x:c r="F31" s="13" t="str">
        <x:v>Ø60.5 / L=1,291mm</x:v>
      </x:c>
      <x:c r="G31" s="13" t="str">
        <x:v>본</x:v>
      </x:c>
      <x:c r="H31" s="17" t="n">
        <x:v>165</x:v>
      </x:c>
      <x:c r="I31" s="26" t="n">
        <x:v>55</x:v>
      </x:c>
      <x:c r="J31" s="26" t="n">
        <x:v>57</x:v>
      </x:c>
      <x:c r="K31" s="26" t="n">
        <x:v>54</x:v>
      </x:c>
      <x:c r="L31" s="13" t="str">
        <x:v>미등록</x:v>
      </x:c>
      <x:c r="M31" s="13" t="str">
        <x:v>미산정</x:v>
      </x:c>
      <x:c r="N31" s="28" t="str">
        <x:v>미산정</x:v>
      </x:c>
      <x:c r="O31" s="31" t="str">
        <x:f>IF(AND(N31="반영",ISNUMBER(H31)),H31,"미산정")</x:f>
        <x:v>미산정</x:v>
      </x:c>
      <x:c r="P31" s="28" t="str">
        <x:v>해당 없음</x:v>
      </x:c>
      <x:c r="Q31" s="14" t="str">
        <x:v>원자료 치수·DSD 코드와 웹 P·H·OB 규격의 동일성 미확인</x:v>
      </x:c>
      <x:c r="R31" s="65" t="n">
        <x:f>K31</x:f>
        <x:v>54</x:v>
      </x:c>
      <x:c r="S31" s="67" t="n">
        <x:f>MAX(0,MIN(1,($B$15-I31+1)/(J31-I31+1)))</x:f>
        <x:v>0</x:v>
      </x:c>
      <x:c r="T31" s="71" t="str">
        <x:f>IF(ISNUMBER(O31),IF(R31&lt;=$B$15,O31,0),"미산정")</x:f>
        <x:v>미산정</x:v>
      </x:c>
      <x:c r="U31" s="71" t="str">
        <x:f>IF(ISNUMBER(O31),MIN(T31,ROUND(O31*S31,0)),"미산정")</x:f>
        <x:v>미산정</x:v>
      </x:c>
      <x:c r="V31" s="71" t="str">
        <x:f>IF(ISNUMBER(O31),T31-U31,"미산정")</x:f>
        <x:v>미산정</x:v>
      </x:c>
      <x:c r="W31" s="71" t="str">
        <x:f>IF(ISNUMBER(O31),O31-T31,"미산정")</x:f>
        <x:v>미산정</x:v>
      </x:c>
      <x:c r="X31" s="71" t="str">
        <x:f>IF(ISNUMBER(O31),O31-U31,"미산정")</x:f>
        <x:v>미산정</x:v>
      </x:c>
    </x:row>
    <x:row r="32" ht="44" customHeight="1">
      <x:c r="A32" s="25" t="n">
        <x:v>22</x:v>
      </x:c>
      <x:c r="B32" s="25" t="str">
        <x:v>113동</x:v>
      </x:c>
      <x:c r="C32" s="6" t="str">
        <x:v>시스템동바리 조립</x:v>
      </x:c>
      <x:c r="D32" s="6" t="str">
        <x:v>SV-0863</x:v>
      </x:c>
      <x:c r="E32" s="6" t="str">
        <x:v>수직재</x:v>
      </x:c>
      <x:c r="F32" s="6" t="str">
        <x:v>Ø60.5 / L=863mm</x:v>
      </x:c>
      <x:c r="G32" s="6" t="str">
        <x:v>본</x:v>
      </x:c>
      <x:c r="H32" s="18" t="n">
        <x:v>504</x:v>
      </x:c>
      <x:c r="I32" s="27" t="n">
        <x:v>55</x:v>
      </x:c>
      <x:c r="J32" s="27" t="n">
        <x:v>57</x:v>
      </x:c>
      <x:c r="K32" s="27" t="n">
        <x:v>54</x:v>
      </x:c>
      <x:c r="L32" s="6" t="str">
        <x:v>미등록</x:v>
      </x:c>
      <x:c r="M32" s="6" t="str">
        <x:v>미산정</x:v>
      </x:c>
      <x:c r="N32" s="28" t="str">
        <x:v>미산정</x:v>
      </x:c>
      <x:c r="O32" s="31" t="str">
        <x:f>IF(AND(N32="반영",ISNUMBER(H32)),H32,"미산정")</x:f>
        <x:v>미산정</x:v>
      </x:c>
      <x:c r="P32" s="28" t="str">
        <x:v>해당 없음</x:v>
      </x:c>
      <x:c r="Q32" s="14" t="str">
        <x:v>원자료 치수·DSD 코드와 웹 P·H·OB 규격의 동일성 미확인</x:v>
      </x:c>
      <x:c r="R32" s="65" t="n">
        <x:f>K32</x:f>
        <x:v>54</x:v>
      </x:c>
      <x:c r="S32" s="68" t="n">
        <x:f>MAX(0,MIN(1,($B$15-I32+1)/(J32-I32+1)))</x:f>
        <x:v>0</x:v>
      </x:c>
      <x:c r="T32" s="72" t="str">
        <x:f>IF(ISNUMBER(O32),IF(R32&lt;=$B$15,O32,0),"미산정")</x:f>
        <x:v>미산정</x:v>
      </x:c>
      <x:c r="U32" s="72" t="str">
        <x:f>IF(ISNUMBER(O32),MIN(T32,ROUND(O32*S32,0)),"미산정")</x:f>
        <x:v>미산정</x:v>
      </x:c>
      <x:c r="V32" s="72" t="str">
        <x:f>IF(ISNUMBER(O32),T32-U32,"미산정")</x:f>
        <x:v>미산정</x:v>
      </x:c>
      <x:c r="W32" s="72" t="str">
        <x:f>IF(ISNUMBER(O32),O32-T32,"미산정")</x:f>
        <x:v>미산정</x:v>
      </x:c>
      <x:c r="X32" s="72" t="str">
        <x:f>IF(ISNUMBER(O32),O32-U32,"미산정")</x:f>
        <x:v>미산정</x:v>
      </x:c>
    </x:row>
    <x:row r="33" ht="44" customHeight="1">
      <x:c r="A33" s="24" t="n">
        <x:v>23</x:v>
      </x:c>
      <x:c r="B33" s="24" t="str">
        <x:v>113동</x:v>
      </x:c>
      <x:c r="C33" s="13" t="str">
        <x:v>시스템동바리 조립</x:v>
      </x:c>
      <x:c r="D33" s="13" t="str">
        <x:v>SH-1219</x:v>
      </x:c>
      <x:c r="E33" s="13" t="str">
        <x:v>수평재</x:v>
      </x:c>
      <x:c r="F33" s="13" t="str">
        <x:v>Ø42.7 / 호칭 L=1,219mm</x:v>
      </x:c>
      <x:c r="G33" s="13" t="str">
        <x:v>본</x:v>
      </x:c>
      <x:c r="H33" s="17" t="n">
        <x:v>3852</x:v>
      </x:c>
      <x:c r="I33" s="26" t="n">
        <x:v>55</x:v>
      </x:c>
      <x:c r="J33" s="26" t="n">
        <x:v>57</x:v>
      </x:c>
      <x:c r="K33" s="26" t="n">
        <x:v>54</x:v>
      </x:c>
      <x:c r="L33" s="13" t="str">
        <x:v>미등록</x:v>
      </x:c>
      <x:c r="M33" s="13" t="str">
        <x:v>미산정</x:v>
      </x:c>
      <x:c r="N33" s="28" t="str">
        <x:v>미산정</x:v>
      </x:c>
      <x:c r="O33" s="31" t="str">
        <x:f>IF(AND(N33="반영",ISNUMBER(H33)),H33,"미산정")</x:f>
        <x:v>미산정</x:v>
      </x:c>
      <x:c r="P33" s="28" t="str">
        <x:v>해당 없음</x:v>
      </x:c>
      <x:c r="Q33" s="14" t="str">
        <x:v>원자료 치수·DSD 코드와 웹 P·H·OB 규격의 동일성 미확인</x:v>
      </x:c>
      <x:c r="R33" s="65" t="n">
        <x:f>K33</x:f>
        <x:v>54</x:v>
      </x:c>
      <x:c r="S33" s="67" t="n">
        <x:f>MAX(0,MIN(1,($B$15-I33+1)/(J33-I33+1)))</x:f>
        <x:v>0</x:v>
      </x:c>
      <x:c r="T33" s="71" t="str">
        <x:f>IF(ISNUMBER(O33),IF(R33&lt;=$B$15,O33,0),"미산정")</x:f>
        <x:v>미산정</x:v>
      </x:c>
      <x:c r="U33" s="71" t="str">
        <x:f>IF(ISNUMBER(O33),MIN(T33,ROUND(O33*S33,0)),"미산정")</x:f>
        <x:v>미산정</x:v>
      </x:c>
      <x:c r="V33" s="71" t="str">
        <x:f>IF(ISNUMBER(O33),T33-U33,"미산정")</x:f>
        <x:v>미산정</x:v>
      </x:c>
      <x:c r="W33" s="71" t="str">
        <x:f>IF(ISNUMBER(O33),O33-T33,"미산정")</x:f>
        <x:v>미산정</x:v>
      </x:c>
      <x:c r="X33" s="71" t="str">
        <x:f>IF(ISNUMBER(O33),O33-U33,"미산정")</x:f>
        <x:v>미산정</x:v>
      </x:c>
    </x:row>
    <x:row r="34" ht="44" customHeight="1">
      <x:c r="A34" s="25" t="n">
        <x:v>24</x:v>
      </x:c>
      <x:c r="B34" s="25" t="str">
        <x:v>113동</x:v>
      </x:c>
      <x:c r="C34" s="6" t="str">
        <x:v>시스템동바리 조립</x:v>
      </x:c>
      <x:c r="D34" s="6" t="str">
        <x:v>SB-1712</x:v>
      </x:c>
      <x:c r="E34" s="6" t="str">
        <x:v>가새재</x:v>
      </x:c>
      <x:c r="F34" s="6" t="str">
        <x:v>DSD-1712 / L=1,974mm</x:v>
      </x:c>
      <x:c r="G34" s="6" t="str">
        <x:v>본</x:v>
      </x:c>
      <x:c r="H34" s="18" t="n">
        <x:v>404</x:v>
      </x:c>
      <x:c r="I34" s="27" t="n">
        <x:v>55</x:v>
      </x:c>
      <x:c r="J34" s="27" t="n">
        <x:v>57</x:v>
      </x:c>
      <x:c r="K34" s="27" t="n">
        <x:v>54</x:v>
      </x:c>
      <x:c r="L34" s="6" t="str">
        <x:v>미등록</x:v>
      </x:c>
      <x:c r="M34" s="6" t="str">
        <x:v>미산정</x:v>
      </x:c>
      <x:c r="N34" s="28" t="str">
        <x:v>미산정</x:v>
      </x:c>
      <x:c r="O34" s="31" t="str">
        <x:f>IF(AND(N34="반영",ISNUMBER(H34)),H34,"미산정")</x:f>
        <x:v>미산정</x:v>
      </x:c>
      <x:c r="P34" s="28" t="str">
        <x:v>해당 없음</x:v>
      </x:c>
      <x:c r="Q34" s="14" t="str">
        <x:v>원자료 치수·DSD 코드와 웹 P·H·OB 규격의 동일성 미확인</x:v>
      </x:c>
      <x:c r="R34" s="65" t="n">
        <x:f>K34</x:f>
        <x:v>54</x:v>
      </x:c>
      <x:c r="S34" s="68" t="n">
        <x:f>MAX(0,MIN(1,($B$15-I34+1)/(J34-I34+1)))</x:f>
        <x:v>0</x:v>
      </x:c>
      <x:c r="T34" s="72" t="str">
        <x:f>IF(ISNUMBER(O34),IF(R34&lt;=$B$15,O34,0),"미산정")</x:f>
        <x:v>미산정</x:v>
      </x:c>
      <x:c r="U34" s="72" t="str">
        <x:f>IF(ISNUMBER(O34),MIN(T34,ROUND(O34*S34,0)),"미산정")</x:f>
        <x:v>미산정</x:v>
      </x:c>
      <x:c r="V34" s="72" t="str">
        <x:f>IF(ISNUMBER(O34),T34-U34,"미산정")</x:f>
        <x:v>미산정</x:v>
      </x:c>
      <x:c r="W34" s="72" t="str">
        <x:f>IF(ISNUMBER(O34),O34-T34,"미산정")</x:f>
        <x:v>미산정</x:v>
      </x:c>
      <x:c r="X34" s="72" t="str">
        <x:f>IF(ISNUMBER(O34),O34-U34,"미산정")</x:f>
        <x:v>미산정</x:v>
      </x:c>
    </x:row>
    <x:row r="35" ht="44" customHeight="1">
      <x:c r="A35" s="24" t="n">
        <x:v>25</x:v>
      </x:c>
      <x:c r="B35" s="24" t="str">
        <x:v>113동</x:v>
      </x:c>
      <x:c r="C35" s="13" t="str">
        <x:v>시스템동바리 조립</x:v>
      </x:c>
      <x:c r="D35" s="13" t="str">
        <x:v>SB-1212</x:v>
      </x:c>
      <x:c r="E35" s="13" t="str">
        <x:v>가새재</x:v>
      </x:c>
      <x:c r="F35" s="13" t="str">
        <x:v>DSD-1212 / L=1,609mm</x:v>
      </x:c>
      <x:c r="G35" s="13" t="str">
        <x:v>본</x:v>
      </x:c>
      <x:c r="H35" s="17" t="n">
        <x:v>79</x:v>
      </x:c>
      <x:c r="I35" s="26" t="n">
        <x:v>55</x:v>
      </x:c>
      <x:c r="J35" s="26" t="n">
        <x:v>57</x:v>
      </x:c>
      <x:c r="K35" s="26" t="n">
        <x:v>54</x:v>
      </x:c>
      <x:c r="L35" s="13" t="str">
        <x:v>미등록</x:v>
      </x:c>
      <x:c r="M35" s="13" t="str">
        <x:v>미산정</x:v>
      </x:c>
      <x:c r="N35" s="28" t="str">
        <x:v>미산정</x:v>
      </x:c>
      <x:c r="O35" s="31" t="str">
        <x:f>IF(AND(N35="반영",ISNUMBER(H35)),H35,"미산정")</x:f>
        <x:v>미산정</x:v>
      </x:c>
      <x:c r="P35" s="28" t="str">
        <x:v>해당 없음</x:v>
      </x:c>
      <x:c r="Q35" s="14" t="str">
        <x:v>원자료 치수·DSD 코드와 웹 P·H·OB 규격의 동일성 미확인</x:v>
      </x:c>
      <x:c r="R35" s="65" t="n">
        <x:f>K35</x:f>
        <x:v>54</x:v>
      </x:c>
      <x:c r="S35" s="67" t="n">
        <x:f>MAX(0,MIN(1,($B$15-I35+1)/(J35-I35+1)))</x:f>
        <x:v>0</x:v>
      </x:c>
      <x:c r="T35" s="71" t="str">
        <x:f>IF(ISNUMBER(O35),IF(R35&lt;=$B$15,O35,0),"미산정")</x:f>
        <x:v>미산정</x:v>
      </x:c>
      <x:c r="U35" s="71" t="str">
        <x:f>IF(ISNUMBER(O35),MIN(T35,ROUND(O35*S35,0)),"미산정")</x:f>
        <x:v>미산정</x:v>
      </x:c>
      <x:c r="V35" s="71" t="str">
        <x:f>IF(ISNUMBER(O35),T35-U35,"미산정")</x:f>
        <x:v>미산정</x:v>
      </x:c>
      <x:c r="W35" s="71" t="str">
        <x:f>IF(ISNUMBER(O35),O35-T35,"미산정")</x:f>
        <x:v>미산정</x:v>
      </x:c>
      <x:c r="X35" s="71" t="str">
        <x:f>IF(ISNUMBER(O35),O35-U35,"미산정")</x:f>
        <x:v>미산정</x:v>
      </x:c>
    </x:row>
    <x:row r="36" ht="44" customHeight="1">
      <x:c r="A36" s="25" t="n">
        <x:v>26</x:v>
      </x:c>
      <x:c r="B36" s="25" t="str">
        <x:v>113동</x:v>
      </x:c>
      <x:c r="C36" s="6" t="str">
        <x:v>시스템동바리 조립</x:v>
      </x:c>
      <x:c r="D36" s="6" t="str">
        <x:v>SB-0812</x:v>
      </x:c>
      <x:c r="E36" s="6" t="str">
        <x:v>가새재</x:v>
      </x:c>
      <x:c r="F36" s="6" t="str">
        <x:v>DSD-0812 / L=1,290mm</x:v>
      </x:c>
      <x:c r="G36" s="6" t="str">
        <x:v>본</x:v>
      </x:c>
      <x:c r="H36" s="18" t="n">
        <x:v>241</x:v>
      </x:c>
      <x:c r="I36" s="27" t="n">
        <x:v>55</x:v>
      </x:c>
      <x:c r="J36" s="27" t="n">
        <x:v>57</x:v>
      </x:c>
      <x:c r="K36" s="27" t="n">
        <x:v>54</x:v>
      </x:c>
      <x:c r="L36" s="6" t="str">
        <x:v>미등록</x:v>
      </x:c>
      <x:c r="M36" s="6" t="str">
        <x:v>미산정</x:v>
      </x:c>
      <x:c r="N36" s="28" t="str">
        <x:v>미산정</x:v>
      </x:c>
      <x:c r="O36" s="31" t="str">
        <x:f>IF(AND(N36="반영",ISNUMBER(H36)),H36,"미산정")</x:f>
        <x:v>미산정</x:v>
      </x:c>
      <x:c r="P36" s="28" t="str">
        <x:v>해당 없음</x:v>
      </x:c>
      <x:c r="Q36" s="14" t="str">
        <x:v>원자료 치수·DSD 코드와 웹 P·H·OB 규격의 동일성 미확인</x:v>
      </x:c>
      <x:c r="R36" s="65" t="n">
        <x:f>K36</x:f>
        <x:v>54</x:v>
      </x:c>
      <x:c r="S36" s="68" t="n">
        <x:f>MAX(0,MIN(1,($B$15-I36+1)/(J36-I36+1)))</x:f>
        <x:v>0</x:v>
      </x:c>
      <x:c r="T36" s="72" t="str">
        <x:f>IF(ISNUMBER(O36),IF(R36&lt;=$B$15,O36,0),"미산정")</x:f>
        <x:v>미산정</x:v>
      </x:c>
      <x:c r="U36" s="72" t="str">
        <x:f>IF(ISNUMBER(O36),MIN(T36,ROUND(O36*S36,0)),"미산정")</x:f>
        <x:v>미산정</x:v>
      </x:c>
      <x:c r="V36" s="72" t="str">
        <x:f>IF(ISNUMBER(O36),T36-U36,"미산정")</x:f>
        <x:v>미산정</x:v>
      </x:c>
      <x:c r="W36" s="72" t="str">
        <x:f>IF(ISNUMBER(O36),O36-T36,"미산정")</x:f>
        <x:v>미산정</x:v>
      </x:c>
      <x:c r="X36" s="72" t="str">
        <x:f>IF(ISNUMBER(O36),O36-U36,"미산정")</x:f>
        <x:v>미산정</x:v>
      </x:c>
    </x:row>
    <x:row r="37" ht="44" customHeight="1">
      <x:c r="A37" s="24" t="n">
        <x:v>27</x:v>
      </x:c>
      <x:c r="B37" s="24" t="str">
        <x:v>113동</x:v>
      </x:c>
      <x:c r="C37" s="13" t="str">
        <x:v>시스템동바리 조립</x:v>
      </x:c>
      <x:c r="D37" s="13" t="str">
        <x:v>UJ-600</x:v>
      </x:c>
      <x:c r="E37" s="13" t="str">
        <x:v>U헤드 잭</x:v>
      </x:c>
      <x:c r="F37" s="13" t="str">
        <x:v>Ø45 / L=600mm</x:v>
      </x:c>
      <x:c r="G37" s="13" t="str">
        <x:v>개</x:v>
      </x:c>
      <x:c r="H37" s="17" t="n">
        <x:v>504</x:v>
      </x:c>
      <x:c r="I37" s="26" t="n">
        <x:v>55</x:v>
      </x:c>
      <x:c r="J37" s="26" t="n">
        <x:v>57</x:v>
      </x:c>
      <x:c r="K37" s="26" t="n">
        <x:v>54</x:v>
      </x:c>
      <x:c r="L37" s="13" t="str">
        <x:v>시스템서포트</x:v>
      </x:c>
      <x:c r="M37" s="13" t="str">
        <x:v>동바리 상부자키</x:v>
      </x:c>
      <x:c r="N37" s="24" t="str">
        <x:v>반영</x:v>
      </x:c>
      <x:c r="O37" s="29" t="n">
        <x:f>IF(AND(N37="반영",ISNUMBER(H37)),H37,"미산정")</x:f>
        <x:v>504</x:v>
      </x:c>
      <x:c r="P37" s="24" t="str">
        <x:v>해당 없음</x:v>
      </x:c>
      <x:c r="Q37" s="13" t="str">
        <x:v>U헤드 잭 → 등록된 동바리 상부자키. 원자료 치수 별도 보존</x:v>
      </x:c>
      <x:c r="R37" s="65" t="n">
        <x:f>K37</x:f>
        <x:v>54</x:v>
      </x:c>
      <x:c r="S37" s="67" t="n">
        <x:f>MAX(0,MIN(1,($B$15-I37+1)/(J37-I37+1)))</x:f>
        <x:v>0</x:v>
      </x:c>
      <x:c r="T37" s="71" t="n">
        <x:f>IF(ISNUMBER(O37),IF(R37&lt;=$B$15,O37,0),"미산정")</x:f>
        <x:v>0</x:v>
      </x:c>
      <x:c r="U37" s="71" t="n">
        <x:f>IF(ISNUMBER(O37),MIN(T37,ROUND(O37*S37,0)),"미산정")</x:f>
        <x:v>0</x:v>
      </x:c>
      <x:c r="V37" s="71" t="n">
        <x:f>IF(ISNUMBER(O37),T37-U37,"미산정")</x:f>
        <x:v>0</x:v>
      </x:c>
      <x:c r="W37" s="71" t="n">
        <x:f>IF(ISNUMBER(O37),O37-T37,"미산정")</x:f>
        <x:v>504</x:v>
      </x:c>
      <x:c r="X37" s="71" t="n">
        <x:f>IF(ISNUMBER(O37),O37-U37,"미산정")</x:f>
        <x:v>504</x:v>
      </x:c>
    </x:row>
    <x:row r="38" ht="44" customHeight="1">
      <x:c r="A38" s="25" t="n">
        <x:v>28</x:v>
      </x:c>
      <x:c r="B38" s="25" t="str">
        <x:v>113동</x:v>
      </x:c>
      <x:c r="C38" s="6" t="str">
        <x:v>시스템동바리 조립</x:v>
      </x:c>
      <x:c r="D38" s="6" t="str">
        <x:v>BJ-600</x:v>
      </x:c>
      <x:c r="E38" s="6" t="str">
        <x:v>베이스 잭</x:v>
      </x:c>
      <x:c r="F38" s="6" t="str">
        <x:v>Ø45 / L=600mm</x:v>
      </x:c>
      <x:c r="G38" s="6" t="str">
        <x:v>개</x:v>
      </x:c>
      <x:c r="H38" s="18" t="n">
        <x:v>504</x:v>
      </x:c>
      <x:c r="I38" s="27" t="n">
        <x:v>55</x:v>
      </x:c>
      <x:c r="J38" s="27" t="n">
        <x:v>57</x:v>
      </x:c>
      <x:c r="K38" s="27" t="n">
        <x:v>54</x:v>
      </x:c>
      <x:c r="L38" s="6" t="str">
        <x:v>시스템서포트</x:v>
      </x:c>
      <x:c r="M38" s="6" t="str">
        <x:v>동바리 하부자키</x:v>
      </x:c>
      <x:c r="N38" s="25" t="str">
        <x:v>반영</x:v>
      </x:c>
      <x:c r="O38" s="30" t="n">
        <x:f>IF(AND(N38="반영",ISNUMBER(H38)),H38,"미산정")</x:f>
        <x:v>504</x:v>
      </x:c>
      <x:c r="P38" s="25" t="str">
        <x:v>해당 없음</x:v>
      </x:c>
      <x:c r="Q38" s="6" t="str">
        <x:v>베이스 잭 → 등록된 동바리 하부자키. 원자료 치수 별도 보존</x:v>
      </x:c>
      <x:c r="R38" s="65" t="n">
        <x:f>K38</x:f>
        <x:v>54</x:v>
      </x:c>
      <x:c r="S38" s="68" t="n">
        <x:f>MAX(0,MIN(1,($B$15-I38+1)/(J38-I38+1)))</x:f>
        <x:v>0</x:v>
      </x:c>
      <x:c r="T38" s="72" t="n">
        <x:f>IF(ISNUMBER(O38),IF(R38&lt;=$B$15,O38,0),"미산정")</x:f>
        <x:v>0</x:v>
      </x:c>
      <x:c r="U38" s="72" t="n">
        <x:f>IF(ISNUMBER(O38),MIN(T38,ROUND(O38*S38,0)),"미산정")</x:f>
        <x:v>0</x:v>
      </x:c>
      <x:c r="V38" s="72" t="n">
        <x:f>IF(ISNUMBER(O38),T38-U38,"미산정")</x:f>
        <x:v>0</x:v>
      </x:c>
      <x:c r="W38" s="72" t="n">
        <x:f>IF(ISNUMBER(O38),O38-T38,"미산정")</x:f>
        <x:v>504</x:v>
      </x:c>
      <x:c r="X38" s="72" t="n">
        <x:f>IF(ISNUMBER(O38),O38-U38,"미산정")</x:f>
        <x:v>504</x:v>
      </x:c>
    </x:row>
    <x:row r="39" ht="44" customHeight="1">
      <x:c r="A39" s="24" t="n">
        <x:v>29</x:v>
      </x:c>
      <x:c r="B39" s="24" t="str">
        <x:v>113동</x:v>
      </x:c>
      <x:c r="C39" s="13" t="str">
        <x:v>시스템동바리 조립</x:v>
      </x:c>
      <x:c r="D39" s="13" t="str">
        <x:v>CP-120</x:v>
      </x:c>
      <x:c r="E39" s="13" t="str">
        <x:v>연결 카프링</x:v>
      </x:c>
      <x:c r="F39" s="13" t="str">
        <x:v>Ø60.5 / L=120mm</x:v>
      </x:c>
      <x:c r="G39" s="13" t="str">
        <x:v>개</x:v>
      </x:c>
      <x:c r="H39" s="17" t="n">
        <x:v>1008</x:v>
      </x:c>
      <x:c r="I39" s="26" t="n">
        <x:v>55</x:v>
      </x:c>
      <x:c r="J39" s="26" t="n">
        <x:v>57</x:v>
      </x:c>
      <x:c r="K39" s="26" t="n">
        <x:v>54</x:v>
      </x:c>
      <x:c r="L39" s="13" t="str">
        <x:v>시스템서포트</x:v>
      </x:c>
      <x:c r="M39" s="13" t="str">
        <x:v>카플링(소켓)</x:v>
      </x:c>
      <x:c r="N39" s="24" t="str">
        <x:v>반영</x:v>
      </x:c>
      <x:c r="O39" s="29" t="n">
        <x:f>IF(AND(N39="반영",ISNUMBER(H39)),H39,"미산정")</x:f>
        <x:v>1008</x:v>
      </x:c>
      <x:c r="P39" s="24" t="str">
        <x:v>해당 없음</x:v>
      </x:c>
      <x:c r="Q39" s="13" t="str">
        <x:v>연결 카플링 → 등록된 카플링(소켓). 원자료 치수 별도 보존</x:v>
      </x:c>
      <x:c r="R39" s="65" t="n">
        <x:f>K39</x:f>
        <x:v>54</x:v>
      </x:c>
      <x:c r="S39" s="67" t="n">
        <x:f>MAX(0,MIN(1,($B$15-I39+1)/(J39-I39+1)))</x:f>
        <x:v>0</x:v>
      </x:c>
      <x:c r="T39" s="71" t="n">
        <x:f>IF(ISNUMBER(O39),IF(R39&lt;=$B$15,O39,0),"미산정")</x:f>
        <x:v>0</x:v>
      </x:c>
      <x:c r="U39" s="71" t="n">
        <x:f>IF(ISNUMBER(O39),MIN(T39,ROUND(O39*S39,0)),"미산정")</x:f>
        <x:v>0</x:v>
      </x:c>
      <x:c r="V39" s="71" t="n">
        <x:f>IF(ISNUMBER(O39),T39-U39,"미산정")</x:f>
        <x:v>0</x:v>
      </x:c>
      <x:c r="W39" s="71" t="n">
        <x:f>IF(ISNUMBER(O39),O39-T39,"미산정")</x:f>
        <x:v>1008</x:v>
      </x:c>
      <x:c r="X39" s="71" t="n">
        <x:f>IF(ISNUMBER(O39),O39-U39,"미산정")</x:f>
        <x:v>1008</x:v>
      </x:c>
    </x:row>
    <x:row r="40" ht="44" customHeight="1">
      <x:c r="A40" s="25" t="n">
        <x:v>30</x:v>
      </x:c>
      <x:c r="B40" s="25" t="str">
        <x:v>113동</x:v>
      </x:c>
      <x:c r="C40" s="6" t="str">
        <x:v>보·슬래브 거푸집</x:v>
      </x:c>
      <x:c r="D40" s="6" t="str">
        <x:v>PW-1224</x:v>
      </x:c>
      <x:c r="E40" s="6" t="str">
        <x:v>코팅합판</x:v>
      </x:c>
      <x:c r="F40" s="6" t="str">
        <x:v>1,220×2,440×12mm</x:v>
      </x:c>
      <x:c r="G40" s="6" t="str">
        <x:v>장</x:v>
      </x:c>
      <x:c r="H40" s="18" t="n">
        <x:v>324</x:v>
      </x:c>
      <x:c r="I40" s="27" t="n">
        <x:v>58</x:v>
      </x:c>
      <x:c r="J40" s="27" t="n">
        <x:v>61</x:v>
      </x:c>
      <x:c r="K40" s="27" t="n">
        <x:v>57</x:v>
      </x:c>
      <x:c r="L40" s="6" t="str">
        <x:v>미등록</x:v>
      </x:c>
      <x:c r="M40" s="6" t="str">
        <x:v>미산정</x:v>
      </x:c>
      <x:c r="N40" s="28" t="str">
        <x:v>미산정</x:v>
      </x:c>
      <x:c r="O40" s="31" t="str">
        <x:f>IF(AND(N40="반영",ISNUMBER(H40)),H40,"미산정")</x:f>
        <x:v>미산정</x:v>
      </x:c>
      <x:c r="P40" s="28" t="str">
        <x:v>해당 없음</x:v>
      </x:c>
      <x:c r="Q40" s="14" t="str">
        <x:v>현재 웹 등록 품목에 없음. 다른 품목으로 대체하지 않음</x:v>
      </x:c>
      <x:c r="R40" s="65" t="n">
        <x:f>K40</x:f>
        <x:v>57</x:v>
      </x:c>
      <x:c r="S40" s="68" t="n">
        <x:f>MAX(0,MIN(1,($B$15-I40+1)/(J40-I40+1)))</x:f>
        <x:v>0</x:v>
      </x:c>
      <x:c r="T40" s="72" t="str">
        <x:f>IF(ISNUMBER(O40),IF(R40&lt;=$B$15,O40,0),"미산정")</x:f>
        <x:v>미산정</x:v>
      </x:c>
      <x:c r="U40" s="72" t="str">
        <x:f>IF(ISNUMBER(O40),MIN(T40,ROUND(O40*S40,0)),"미산정")</x:f>
        <x:v>미산정</x:v>
      </x:c>
      <x:c r="V40" s="72" t="str">
        <x:f>IF(ISNUMBER(O40),T40-U40,"미산정")</x:f>
        <x:v>미산정</x:v>
      </x:c>
      <x:c r="W40" s="72" t="str">
        <x:f>IF(ISNUMBER(O40),O40-T40,"미산정")</x:f>
        <x:v>미산정</x:v>
      </x:c>
      <x:c r="X40" s="72" t="str">
        <x:f>IF(ISNUMBER(O40),O40-U40,"미산정")</x:f>
        <x:v>미산정</x:v>
      </x:c>
    </x:row>
    <x:row r="41" ht="44" customHeight="1">
      <x:c r="A41" s="24" t="n">
        <x:v>31</x:v>
      </x:c>
      <x:c r="B41" s="24" t="str">
        <x:v>113동</x:v>
      </x:c>
      <x:c r="C41" s="13" t="str">
        <x:v>보·슬래브 거푸집</x:v>
      </x:c>
      <x:c r="D41" s="13" t="str">
        <x:v>JO-4000</x:v>
      </x:c>
      <x:c r="E41" s="13" t="str">
        <x:v>각관 장선</x:v>
      </x:c>
      <x:c r="F41" s="13" t="str">
        <x:v>50×50×2.3mm / L=4,000mm</x:v>
      </x:c>
      <x:c r="G41" s="13" t="str">
        <x:v>본</x:v>
      </x:c>
      <x:c r="H41" s="17" t="n">
        <x:v>605</x:v>
      </x:c>
      <x:c r="I41" s="26" t="n">
        <x:v>58</x:v>
      </x:c>
      <x:c r="J41" s="26" t="n">
        <x:v>61</x:v>
      </x:c>
      <x:c r="K41" s="26" t="n">
        <x:v>57</x:v>
      </x:c>
      <x:c r="L41" s="13" t="str">
        <x:v>미등록</x:v>
      </x:c>
      <x:c r="M41" s="13" t="str">
        <x:v>미산정</x:v>
      </x:c>
      <x:c r="N41" s="28" t="str">
        <x:v>미산정</x:v>
      </x:c>
      <x:c r="O41" s="31" t="str">
        <x:f>IF(AND(N41="반영",ISNUMBER(H41)),H41,"미산정")</x:f>
        <x:v>미산정</x:v>
      </x:c>
      <x:c r="P41" s="28" t="str">
        <x:v>해당 없음</x:v>
      </x:c>
      <x:c r="Q41" s="14" t="str">
        <x:v>현재 웹 등록 품목에 없음. 다른 품목으로 대체하지 않음</x:v>
      </x:c>
      <x:c r="R41" s="65" t="n">
        <x:f>K41</x:f>
        <x:v>57</x:v>
      </x:c>
      <x:c r="S41" s="67" t="n">
        <x:f>MAX(0,MIN(1,($B$15-I41+1)/(J41-I41+1)))</x:f>
        <x:v>0</x:v>
      </x:c>
      <x:c r="T41" s="71" t="str">
        <x:f>IF(ISNUMBER(O41),IF(R41&lt;=$B$15,O41,0),"미산정")</x:f>
        <x:v>미산정</x:v>
      </x:c>
      <x:c r="U41" s="71" t="str">
        <x:f>IF(ISNUMBER(O41),MIN(T41,ROUND(O41*S41,0)),"미산정")</x:f>
        <x:v>미산정</x:v>
      </x:c>
      <x:c r="V41" s="71" t="str">
        <x:f>IF(ISNUMBER(O41),T41-U41,"미산정")</x:f>
        <x:v>미산정</x:v>
      </x:c>
      <x:c r="W41" s="71" t="str">
        <x:f>IF(ISNUMBER(O41),O41-T41,"미산정")</x:f>
        <x:v>미산정</x:v>
      </x:c>
      <x:c r="X41" s="71" t="str">
        <x:f>IF(ISNUMBER(O41),O41-U41,"미산정")</x:f>
        <x:v>미산정</x:v>
      </x:c>
    </x:row>
    <x:row r="42" ht="44" customHeight="1">
      <x:c r="A42" s="25" t="n">
        <x:v>32</x:v>
      </x:c>
      <x:c r="B42" s="25" t="str">
        <x:v>113동</x:v>
      </x:c>
      <x:c r="C42" s="6" t="str">
        <x:v>보·슬래브 거푸집</x:v>
      </x:c>
      <x:c r="D42" s="6" t="str">
        <x:v>BE-3000</x:v>
      </x:c>
      <x:c r="E42" s="6" t="str">
        <x:v>시스템 멍에</x:v>
      </x:c>
      <x:c r="F42" s="6" t="str">
        <x:v>선정 제품 길이 3,000mm</x:v>
      </x:c>
      <x:c r="G42" s="6" t="str">
        <x:v>본</x:v>
      </x:c>
      <x:c r="H42" s="18" t="n">
        <x:v>212</x:v>
      </x:c>
      <x:c r="I42" s="27" t="n">
        <x:v>58</x:v>
      </x:c>
      <x:c r="J42" s="27" t="n">
        <x:v>61</x:v>
      </x:c>
      <x:c r="K42" s="27" t="n">
        <x:v>57</x:v>
      </x:c>
      <x:c r="L42" s="6" t="str">
        <x:v>미등록</x:v>
      </x:c>
      <x:c r="M42" s="6" t="str">
        <x:v>미산정</x:v>
      </x:c>
      <x:c r="N42" s="28" t="str">
        <x:v>미산정</x:v>
      </x:c>
      <x:c r="O42" s="31" t="str">
        <x:f>IF(AND(N42="반영",ISNUMBER(H42)),H42,"미산정")</x:f>
        <x:v>미산정</x:v>
      </x:c>
      <x:c r="P42" s="28" t="str">
        <x:v>해당 없음</x:v>
      </x:c>
      <x:c r="Q42" s="14" t="str">
        <x:v>현재 웹 등록 품목에 없음. 다른 품목으로 대체하지 않음</x:v>
      </x:c>
      <x:c r="R42" s="65" t="n">
        <x:f>K42</x:f>
        <x:v>57</x:v>
      </x:c>
      <x:c r="S42" s="68" t="n">
        <x:f>MAX(0,MIN(1,($B$15-I42+1)/(J42-I42+1)))</x:f>
        <x:v>0</x:v>
      </x:c>
      <x:c r="T42" s="72" t="str">
        <x:f>IF(ISNUMBER(O42),IF(R42&lt;=$B$15,O42,0),"미산정")</x:f>
        <x:v>미산정</x:v>
      </x:c>
      <x:c r="U42" s="72" t="str">
        <x:f>IF(ISNUMBER(O42),MIN(T42,ROUND(O42*S42,0)),"미산정")</x:f>
        <x:v>미산정</x:v>
      </x:c>
      <x:c r="V42" s="72" t="str">
        <x:f>IF(ISNUMBER(O42),T42-U42,"미산정")</x:f>
        <x:v>미산정</x:v>
      </x:c>
      <x:c r="W42" s="72" t="str">
        <x:f>IF(ISNUMBER(O42),O42-T42,"미산정")</x:f>
        <x:v>미산정</x:v>
      </x:c>
      <x:c r="X42" s="72" t="str">
        <x:f>IF(ISNUMBER(O42),O42-U42,"미산정")</x:f>
        <x:v>미산정</x:v>
      </x:c>
    </x:row>
    <x:row r="43" ht="44" customHeight="1">
      <x:c r="A43" s="24" t="n">
        <x:v>33</x:v>
      </x:c>
      <x:c r="B43" s="24" t="str">
        <x:v>113동</x:v>
      </x:c>
      <x:c r="C43" s="13" t="str">
        <x:v>보·슬래브 철근배근</x:v>
      </x:c>
      <x:c r="D43" s="13" t="str">
        <x:v>RB-D10</x:v>
      </x:c>
      <x:c r="E43" s="13" t="str">
        <x:v>철근</x:v>
      </x:c>
      <x:c r="F43" s="13" t="str">
        <x:v>SD500 D10 / 부위별 공장 가공</x:v>
      </x:c>
      <x:c r="G43" s="13" t="str">
        <x:v>kg</x:v>
      </x:c>
      <x:c r="H43" s="17" t="n">
        <x:v>2520</x:v>
      </x:c>
      <x:c r="I43" s="26" t="n">
        <x:v>62</x:v>
      </x:c>
      <x:c r="J43" s="26" t="n">
        <x:v>64</x:v>
      </x:c>
      <x:c r="K43" s="26" t="n">
        <x:v>61</x:v>
      </x:c>
      <x:c r="L43" s="13" t="str">
        <x:v>철근</x:v>
      </x:c>
      <x:c r="M43" s="13" t="str">
        <x:v>D10</x:v>
      </x:c>
      <x:c r="N43" s="24" t="str">
        <x:v>반영</x:v>
      </x:c>
      <x:c r="O43" s="29" t="n">
        <x:f>IF(AND(N43="반영",ISNUMBER(H43)),H43,"미산정")</x:f>
        <x:v>2520</x:v>
      </x:c>
      <x:c r="P43" s="24" t="str">
        <x:v>미제공</x:v>
      </x:c>
      <x:c r="Q43" s="13" t="str">
        <x:v>등록 품목·규격과 일치</x:v>
      </x:c>
      <x:c r="R43" s="65" t="n">
        <x:f>K43</x:f>
        <x:v>61</x:v>
      </x:c>
      <x:c r="S43" s="67" t="n">
        <x:f>MAX(0,MIN(1,($B$15-I43+1)/(J43-I43+1)))</x:f>
        <x:v>0</x:v>
      </x:c>
      <x:c r="T43" s="71" t="n">
        <x:f>IF(ISNUMBER(O43),IF(R43&lt;=$B$15,O43,0),"미산정")</x:f>
        <x:v>0</x:v>
      </x:c>
      <x:c r="U43" s="71" t="n">
        <x:f>IF(ISNUMBER(O43),MIN(T43,ROUND(O43*S43,0)),"미산정")</x:f>
        <x:v>0</x:v>
      </x:c>
      <x:c r="V43" s="71" t="n">
        <x:f>IF(ISNUMBER(O43),T43-U43,"미산정")</x:f>
        <x:v>0</x:v>
      </x:c>
      <x:c r="W43" s="71" t="n">
        <x:f>IF(ISNUMBER(O43),O43-T43,"미산정")</x:f>
        <x:v>2520</x:v>
      </x:c>
      <x:c r="X43" s="71" t="n">
        <x:f>IF(ISNUMBER(O43),O43-U43,"미산정")</x:f>
        <x:v>2520</x:v>
      </x:c>
    </x:row>
    <x:row r="44" ht="44" customHeight="1">
      <x:c r="A44" s="25" t="n">
        <x:v>34</x:v>
      </x:c>
      <x:c r="B44" s="25" t="str">
        <x:v>113동</x:v>
      </x:c>
      <x:c r="C44" s="6" t="str">
        <x:v>보·슬래브 철근배근</x:v>
      </x:c>
      <x:c r="D44" s="6" t="str">
        <x:v>RB-D13</x:v>
      </x:c>
      <x:c r="E44" s="6" t="str">
        <x:v>철근</x:v>
      </x:c>
      <x:c r="F44" s="6" t="str">
        <x:v>SD500 D13 / 부위별 공장 가공</x:v>
      </x:c>
      <x:c r="G44" s="6" t="str">
        <x:v>kg</x:v>
      </x:c>
      <x:c r="H44" s="18" t="n">
        <x:v>6300</x:v>
      </x:c>
      <x:c r="I44" s="27" t="n">
        <x:v>62</x:v>
      </x:c>
      <x:c r="J44" s="27" t="n">
        <x:v>64</x:v>
      </x:c>
      <x:c r="K44" s="27" t="n">
        <x:v>61</x:v>
      </x:c>
      <x:c r="L44" s="6" t="str">
        <x:v>철근</x:v>
      </x:c>
      <x:c r="M44" s="6" t="str">
        <x:v>D13</x:v>
      </x:c>
      <x:c r="N44" s="25" t="str">
        <x:v>반영</x:v>
      </x:c>
      <x:c r="O44" s="30" t="n">
        <x:f>IF(AND(N44="반영",ISNUMBER(H44)),H44,"미산정")</x:f>
        <x:v>6300</x:v>
      </x:c>
      <x:c r="P44" s="25" t="str">
        <x:v>미제공</x:v>
      </x:c>
      <x:c r="Q44" s="6" t="str">
        <x:v>등록 품목·규격과 일치</x:v>
      </x:c>
      <x:c r="R44" s="65" t="n">
        <x:f>K44</x:f>
        <x:v>61</x:v>
      </x:c>
      <x:c r="S44" s="68" t="n">
        <x:f>MAX(0,MIN(1,($B$15-I44+1)/(J44-I44+1)))</x:f>
        <x:v>0</x:v>
      </x:c>
      <x:c r="T44" s="72" t="n">
        <x:f>IF(ISNUMBER(O44),IF(R44&lt;=$B$15,O44,0),"미산정")</x:f>
        <x:v>0</x:v>
      </x:c>
      <x:c r="U44" s="72" t="n">
        <x:f>IF(ISNUMBER(O44),MIN(T44,ROUND(O44*S44,0)),"미산정")</x:f>
        <x:v>0</x:v>
      </x:c>
      <x:c r="V44" s="72" t="n">
        <x:f>IF(ISNUMBER(O44),T44-U44,"미산정")</x:f>
        <x:v>0</x:v>
      </x:c>
      <x:c r="W44" s="72" t="n">
        <x:f>IF(ISNUMBER(O44),O44-T44,"미산정")</x:f>
        <x:v>6300</x:v>
      </x:c>
      <x:c r="X44" s="72" t="n">
        <x:f>IF(ISNUMBER(O44),O44-U44,"미산정")</x:f>
        <x:v>6300</x:v>
      </x:c>
    </x:row>
    <x:row r="45" ht="44" customHeight="1">
      <x:c r="A45" s="24" t="n">
        <x:v>35</x:v>
      </x:c>
      <x:c r="B45" s="24" t="str">
        <x:v>113동</x:v>
      </x:c>
      <x:c r="C45" s="13" t="str">
        <x:v>보·슬래브 철근배근</x:v>
      </x:c>
      <x:c r="D45" s="13" t="str">
        <x:v>RB-D16</x:v>
      </x:c>
      <x:c r="E45" s="13" t="str">
        <x:v>철근</x:v>
      </x:c>
      <x:c r="F45" s="13" t="str">
        <x:v>SD500 D16 / 부위별 공장 가공</x:v>
      </x:c>
      <x:c r="G45" s="13" t="str">
        <x:v>kg</x:v>
      </x:c>
      <x:c r="H45" s="17" t="n">
        <x:v>5040</x:v>
      </x:c>
      <x:c r="I45" s="26" t="n">
        <x:v>62</x:v>
      </x:c>
      <x:c r="J45" s="26" t="n">
        <x:v>64</x:v>
      </x:c>
      <x:c r="K45" s="26" t="n">
        <x:v>61</x:v>
      </x:c>
      <x:c r="L45" s="13" t="str">
        <x:v>철근</x:v>
      </x:c>
      <x:c r="M45" s="13" t="str">
        <x:v>D16</x:v>
      </x:c>
      <x:c r="N45" s="24" t="str">
        <x:v>반영</x:v>
      </x:c>
      <x:c r="O45" s="29" t="n">
        <x:f>IF(AND(N45="반영",ISNUMBER(H45)),H45,"미산정")</x:f>
        <x:v>5040</x:v>
      </x:c>
      <x:c r="P45" s="24" t="str">
        <x:v>미제공</x:v>
      </x:c>
      <x:c r="Q45" s="13" t="str">
        <x:v>등록 품목·규격과 일치</x:v>
      </x:c>
      <x:c r="R45" s="65" t="n">
        <x:f>K45</x:f>
        <x:v>61</x:v>
      </x:c>
      <x:c r="S45" s="67" t="n">
        <x:f>MAX(0,MIN(1,($B$15-I45+1)/(J45-I45+1)))</x:f>
        <x:v>0</x:v>
      </x:c>
      <x:c r="T45" s="71" t="n">
        <x:f>IF(ISNUMBER(O45),IF(R45&lt;=$B$15,O45,0),"미산정")</x:f>
        <x:v>0</x:v>
      </x:c>
      <x:c r="U45" s="71" t="n">
        <x:f>IF(ISNUMBER(O45),MIN(T45,ROUND(O45*S45,0)),"미산정")</x:f>
        <x:v>0</x:v>
      </x:c>
      <x:c r="V45" s="71" t="n">
        <x:f>IF(ISNUMBER(O45),T45-U45,"미산정")</x:f>
        <x:v>0</x:v>
      </x:c>
      <x:c r="W45" s="71" t="n">
        <x:f>IF(ISNUMBER(O45),O45-T45,"미산정")</x:f>
        <x:v>5040</x:v>
      </x:c>
      <x:c r="X45" s="71" t="n">
        <x:f>IF(ISNUMBER(O45),O45-U45,"미산정")</x:f>
        <x:v>5040</x:v>
      </x:c>
    </x:row>
    <x:row r="46" ht="44" customHeight="1">
      <x:c r="A46" s="25" t="n">
        <x:v>36</x:v>
      </x:c>
      <x:c r="B46" s="25" t="str">
        <x:v>113동</x:v>
      </x:c>
      <x:c r="C46" s="6" t="str">
        <x:v>보·슬래브 철근배근</x:v>
      </x:c>
      <x:c r="D46" s="6" t="str">
        <x:v>RB-D19</x:v>
      </x:c>
      <x:c r="E46" s="6" t="str">
        <x:v>철근</x:v>
      </x:c>
      <x:c r="F46" s="6" t="str">
        <x:v>SD500 D19 / 부위별 공장 가공</x:v>
      </x:c>
      <x:c r="G46" s="6" t="str">
        <x:v>kg</x:v>
      </x:c>
      <x:c r="H46" s="18" t="n">
        <x:v>5040</x:v>
      </x:c>
      <x:c r="I46" s="27" t="n">
        <x:v>62</x:v>
      </x:c>
      <x:c r="J46" s="27" t="n">
        <x:v>64</x:v>
      </x:c>
      <x:c r="K46" s="27" t="n">
        <x:v>61</x:v>
      </x:c>
      <x:c r="L46" s="6" t="str">
        <x:v>철근</x:v>
      </x:c>
      <x:c r="M46" s="6" t="str">
        <x:v>D19</x:v>
      </x:c>
      <x:c r="N46" s="25" t="str">
        <x:v>반영</x:v>
      </x:c>
      <x:c r="O46" s="30" t="n">
        <x:f>IF(AND(N46="반영",ISNUMBER(H46)),H46,"미산정")</x:f>
        <x:v>5040</x:v>
      </x:c>
      <x:c r="P46" s="25" t="str">
        <x:v>미제공</x:v>
      </x:c>
      <x:c r="Q46" s="6" t="str">
        <x:v>등록 품목·규격과 일치</x:v>
      </x:c>
      <x:c r="R46" s="65" t="n">
        <x:f>K46</x:f>
        <x:v>61</x:v>
      </x:c>
      <x:c r="S46" s="68" t="n">
        <x:f>MAX(0,MIN(1,($B$15-I46+1)/(J46-I46+1)))</x:f>
        <x:v>0</x:v>
      </x:c>
      <x:c r="T46" s="72" t="n">
        <x:f>IF(ISNUMBER(O46),IF(R46&lt;=$B$15,O46,0),"미산정")</x:f>
        <x:v>0</x:v>
      </x:c>
      <x:c r="U46" s="72" t="n">
        <x:f>IF(ISNUMBER(O46),MIN(T46,ROUND(O46*S46,0)),"미산정")</x:f>
        <x:v>0</x:v>
      </x:c>
      <x:c r="V46" s="72" t="n">
        <x:f>IF(ISNUMBER(O46),T46-U46,"미산정")</x:f>
        <x:v>0</x:v>
      </x:c>
      <x:c r="W46" s="72" t="n">
        <x:f>IF(ISNUMBER(O46),O46-T46,"미산정")</x:f>
        <x:v>5040</x:v>
      </x:c>
      <x:c r="X46" s="72" t="n">
        <x:f>IF(ISNUMBER(O46),O46-U46,"미산정")</x:f>
        <x:v>5040</x:v>
      </x:c>
    </x:row>
    <x:row r="47" ht="44" customHeight="1">
      <x:c r="A47" s="24" t="n">
        <x:v>37</x:v>
      </x:c>
      <x:c r="B47" s="24" t="str">
        <x:v>113동</x:v>
      </x:c>
      <x:c r="C47" s="13" t="str">
        <x:v>보·슬래브 철근배근</x:v>
      </x:c>
      <x:c r="D47" s="13" t="str">
        <x:v>RB-D22</x:v>
      </x:c>
      <x:c r="E47" s="13" t="str">
        <x:v>철근</x:v>
      </x:c>
      <x:c r="F47" s="13" t="str">
        <x:v>SD500 D22 / 부위별 공장 가공</x:v>
      </x:c>
      <x:c r="G47" s="13" t="str">
        <x:v>kg</x:v>
      </x:c>
      <x:c r="H47" s="17" t="n">
        <x:v>3780</x:v>
      </x:c>
      <x:c r="I47" s="26" t="n">
        <x:v>62</x:v>
      </x:c>
      <x:c r="J47" s="26" t="n">
        <x:v>64</x:v>
      </x:c>
      <x:c r="K47" s="26" t="n">
        <x:v>61</x:v>
      </x:c>
      <x:c r="L47" s="13" t="str">
        <x:v>철근</x:v>
      </x:c>
      <x:c r="M47" s="13" t="str">
        <x:v>D22</x:v>
      </x:c>
      <x:c r="N47" s="24" t="str">
        <x:v>반영</x:v>
      </x:c>
      <x:c r="O47" s="29" t="n">
        <x:f>IF(AND(N47="반영",ISNUMBER(H47)),H47,"미산정")</x:f>
        <x:v>3780</x:v>
      </x:c>
      <x:c r="P47" s="24" t="str">
        <x:v>미제공</x:v>
      </x:c>
      <x:c r="Q47" s="13" t="str">
        <x:v>등록 품목·규격과 일치</x:v>
      </x:c>
      <x:c r="R47" s="65" t="n">
        <x:f>K47</x:f>
        <x:v>61</x:v>
      </x:c>
      <x:c r="S47" s="67" t="n">
        <x:f>MAX(0,MIN(1,($B$15-I47+1)/(J47-I47+1)))</x:f>
        <x:v>0</x:v>
      </x:c>
      <x:c r="T47" s="71" t="n">
        <x:f>IF(ISNUMBER(O47),IF(R47&lt;=$B$15,O47,0),"미산정")</x:f>
        <x:v>0</x:v>
      </x:c>
      <x:c r="U47" s="71" t="n">
        <x:f>IF(ISNUMBER(O47),MIN(T47,ROUND(O47*S47,0)),"미산정")</x:f>
        <x:v>0</x:v>
      </x:c>
      <x:c r="V47" s="71" t="n">
        <x:f>IF(ISNUMBER(O47),T47-U47,"미산정")</x:f>
        <x:v>0</x:v>
      </x:c>
      <x:c r="W47" s="71" t="n">
        <x:f>IF(ISNUMBER(O47),O47-T47,"미산정")</x:f>
        <x:v>3780</x:v>
      </x:c>
      <x:c r="X47" s="71" t="n">
        <x:f>IF(ISNUMBER(O47),O47-U47,"미산정")</x:f>
        <x:v>3780</x:v>
      </x:c>
    </x:row>
    <x:row r="48" ht="44" customHeight="1">
      <x:c r="A48" s="25" t="n">
        <x:v>38</x:v>
      </x:c>
      <x:c r="B48" s="25" t="str">
        <x:v>113동</x:v>
      </x:c>
      <x:c r="C48" s="6" t="str">
        <x:v>보·슬래브 철근배근</x:v>
      </x:c>
      <x:c r="D48" s="6" t="str">
        <x:v>RB-D25</x:v>
      </x:c>
      <x:c r="E48" s="6" t="str">
        <x:v>철근</x:v>
      </x:c>
      <x:c r="F48" s="6" t="str">
        <x:v>SD500 D25 / 부위별 공장 가공</x:v>
      </x:c>
      <x:c r="G48" s="6" t="str">
        <x:v>kg</x:v>
      </x:c>
      <x:c r="H48" s="18" t="n">
        <x:v>2520</x:v>
      </x:c>
      <x:c r="I48" s="27" t="n">
        <x:v>62</x:v>
      </x:c>
      <x:c r="J48" s="27" t="n">
        <x:v>64</x:v>
      </x:c>
      <x:c r="K48" s="27" t="n">
        <x:v>61</x:v>
      </x:c>
      <x:c r="L48" s="6" t="str">
        <x:v>철근</x:v>
      </x:c>
      <x:c r="M48" s="6" t="str">
        <x:v>D25</x:v>
      </x:c>
      <x:c r="N48" s="25" t="str">
        <x:v>반영</x:v>
      </x:c>
      <x:c r="O48" s="30" t="n">
        <x:f>IF(AND(N48="반영",ISNUMBER(H48)),H48,"미산정")</x:f>
        <x:v>2520</x:v>
      </x:c>
      <x:c r="P48" s="25" t="str">
        <x:v>미제공</x:v>
      </x:c>
      <x:c r="Q48" s="6" t="str">
        <x:v>등록 품목·규격과 일치</x:v>
      </x:c>
      <x:c r="R48" s="65" t="n">
        <x:f>K48</x:f>
        <x:v>61</x:v>
      </x:c>
      <x:c r="S48" s="68" t="n">
        <x:f>MAX(0,MIN(1,($B$15-I48+1)/(J48-I48+1)))</x:f>
        <x:v>0</x:v>
      </x:c>
      <x:c r="T48" s="72" t="n">
        <x:f>IF(ISNUMBER(O48),IF(R48&lt;=$B$15,O48,0),"미산정")</x:f>
        <x:v>0</x:v>
      </x:c>
      <x:c r="U48" s="72" t="n">
        <x:f>IF(ISNUMBER(O48),MIN(T48,ROUND(O48*S48,0)),"미산정")</x:f>
        <x:v>0</x:v>
      </x:c>
      <x:c r="V48" s="72" t="n">
        <x:f>IF(ISNUMBER(O48),T48-U48,"미산정")</x:f>
        <x:v>0</x:v>
      </x:c>
      <x:c r="W48" s="72" t="n">
        <x:f>IF(ISNUMBER(O48),O48-T48,"미산정")</x:f>
        <x:v>2520</x:v>
      </x:c>
      <x:c r="X48" s="72" t="n">
        <x:f>IF(ISNUMBER(O48),O48-U48,"미산정")</x:f>
        <x:v>2520</x:v>
      </x:c>
    </x:row>
    <x:row r="49" ht="44" customHeight="1">
      <x:c r="A49" s="24" t="n">
        <x:v>39</x:v>
      </x:c>
      <x:c r="B49" s="24" t="str">
        <x:v>112동</x:v>
      </x:c>
      <x:c r="C49" s="13" t="str">
        <x:v>벽체·기둥 철근배근</x:v>
      </x:c>
      <x:c r="D49" s="13" t="str">
        <x:v>RB-D10</x:v>
      </x:c>
      <x:c r="E49" s="13" t="str">
        <x:v>철근</x:v>
      </x:c>
      <x:c r="F49" s="13" t="str">
        <x:v>SD500 D10 / 부위별 공장 가공</x:v>
      </x:c>
      <x:c r="G49" s="13" t="str">
        <x:v>kg</x:v>
      </x:c>
      <x:c r="H49" s="17" t="n">
        <x:v>1810</x:v>
      </x:c>
      <x:c r="I49" s="26" t="n">
        <x:v>18</x:v>
      </x:c>
      <x:c r="J49" s="26" t="n">
        <x:v>22</x:v>
      </x:c>
      <x:c r="K49" s="26" t="n">
        <x:v>17</x:v>
      </x:c>
      <x:c r="L49" s="13" t="str">
        <x:v>철근</x:v>
      </x:c>
      <x:c r="M49" s="13" t="str">
        <x:v>D10</x:v>
      </x:c>
      <x:c r="N49" s="24" t="str">
        <x:v>반영</x:v>
      </x:c>
      <x:c r="O49" s="29" t="n">
        <x:f>IF(AND(N49="반영",ISNUMBER(H49)),H49,"미산정")</x:f>
        <x:v>1810</x:v>
      </x:c>
      <x:c r="P49" s="24" t="str">
        <x:v>미제공</x:v>
      </x:c>
      <x:c r="Q49" s="13" t="str">
        <x:v>등록 품목·규격과 일치</x:v>
      </x:c>
      <x:c r="R49" s="65" t="n">
        <x:f>K49</x:f>
        <x:v>17</x:v>
      </x:c>
      <x:c r="S49" s="67" t="n">
        <x:f>MAX(0,MIN(1,($B$15-I49+1)/(J49-I49+1)))</x:f>
        <x:v>0</x:v>
      </x:c>
      <x:c r="T49" s="71" t="n">
        <x:f>IF(ISNUMBER(O49),IF(R49&lt;=$B$15,O49,0),"미산정")</x:f>
        <x:v>0</x:v>
      </x:c>
      <x:c r="U49" s="71" t="n">
        <x:f>IF(ISNUMBER(O49),MIN(T49,ROUND(O49*S49,0)),"미산정")</x:f>
        <x:v>0</x:v>
      </x:c>
      <x:c r="V49" s="71" t="n">
        <x:f>IF(ISNUMBER(O49),T49-U49,"미산정")</x:f>
        <x:v>0</x:v>
      </x:c>
      <x:c r="W49" s="71" t="n">
        <x:f>IF(ISNUMBER(O49),O49-T49,"미산정")</x:f>
        <x:v>1810</x:v>
      </x:c>
      <x:c r="X49" s="71" t="n">
        <x:f>IF(ISNUMBER(O49),O49-U49,"미산정")</x:f>
        <x:v>1810</x:v>
      </x:c>
    </x:row>
    <x:row r="50" ht="44" customHeight="1">
      <x:c r="A50" s="25" t="n">
        <x:v>40</x:v>
      </x:c>
      <x:c r="B50" s="25" t="str">
        <x:v>112동</x:v>
      </x:c>
      <x:c r="C50" s="6" t="str">
        <x:v>벽체·기둥 철근배근</x:v>
      </x:c>
      <x:c r="D50" s="6" t="str">
        <x:v>RB-D13</x:v>
      </x:c>
      <x:c r="E50" s="6" t="str">
        <x:v>철근</x:v>
      </x:c>
      <x:c r="F50" s="6" t="str">
        <x:v>SD500 D13 / 부위별 공장 가공</x:v>
      </x:c>
      <x:c r="G50" s="6" t="str">
        <x:v>kg</x:v>
      </x:c>
      <x:c r="H50" s="18" t="n">
        <x:v>2710</x:v>
      </x:c>
      <x:c r="I50" s="27" t="n">
        <x:v>18</x:v>
      </x:c>
      <x:c r="J50" s="27" t="n">
        <x:v>22</x:v>
      </x:c>
      <x:c r="K50" s="27" t="n">
        <x:v>17</x:v>
      </x:c>
      <x:c r="L50" s="6" t="str">
        <x:v>철근</x:v>
      </x:c>
      <x:c r="M50" s="6" t="str">
        <x:v>D13</x:v>
      </x:c>
      <x:c r="N50" s="25" t="str">
        <x:v>반영</x:v>
      </x:c>
      <x:c r="O50" s="30" t="n">
        <x:f>IF(AND(N50="반영",ISNUMBER(H50)),H50,"미산정")</x:f>
        <x:v>2710</x:v>
      </x:c>
      <x:c r="P50" s="25" t="str">
        <x:v>미제공</x:v>
      </x:c>
      <x:c r="Q50" s="6" t="str">
        <x:v>등록 품목·규격과 일치</x:v>
      </x:c>
      <x:c r="R50" s="65" t="n">
        <x:f>K50</x:f>
        <x:v>17</x:v>
      </x:c>
      <x:c r="S50" s="68" t="n">
        <x:f>MAX(0,MIN(1,($B$15-I50+1)/(J50-I50+1)))</x:f>
        <x:v>0</x:v>
      </x:c>
      <x:c r="T50" s="72" t="n">
        <x:f>IF(ISNUMBER(O50),IF(R50&lt;=$B$15,O50,0),"미산정")</x:f>
        <x:v>0</x:v>
      </x:c>
      <x:c r="U50" s="72" t="n">
        <x:f>IF(ISNUMBER(O50),MIN(T50,ROUND(O50*S50,0)),"미산정")</x:f>
        <x:v>0</x:v>
      </x:c>
      <x:c r="V50" s="72" t="n">
        <x:f>IF(ISNUMBER(O50),T50-U50,"미산정")</x:f>
        <x:v>0</x:v>
      </x:c>
      <x:c r="W50" s="72" t="n">
        <x:f>IF(ISNUMBER(O50),O50-T50,"미산정")</x:f>
        <x:v>2710</x:v>
      </x:c>
      <x:c r="X50" s="72" t="n">
        <x:f>IF(ISNUMBER(O50),O50-U50,"미산정")</x:f>
        <x:v>2710</x:v>
      </x:c>
    </x:row>
    <x:row r="51" ht="44" customHeight="1">
      <x:c r="A51" s="24" t="n">
        <x:v>41</x:v>
      </x:c>
      <x:c r="B51" s="24" t="str">
        <x:v>112동</x:v>
      </x:c>
      <x:c r="C51" s="13" t="str">
        <x:v>벽체·기둥 철근배근</x:v>
      </x:c>
      <x:c r="D51" s="13" t="str">
        <x:v>RB-D16</x:v>
      </x:c>
      <x:c r="E51" s="13" t="str">
        <x:v>철근</x:v>
      </x:c>
      <x:c r="F51" s="13" t="str">
        <x:v>SD500 D16 / 부위별 공장 가공</x:v>
      </x:c>
      <x:c r="G51" s="13" t="str">
        <x:v>kg</x:v>
      </x:c>
      <x:c r="H51" s="17" t="n">
        <x:v>3390</x:v>
      </x:c>
      <x:c r="I51" s="26" t="n">
        <x:v>18</x:v>
      </x:c>
      <x:c r="J51" s="26" t="n">
        <x:v>22</x:v>
      </x:c>
      <x:c r="K51" s="26" t="n">
        <x:v>17</x:v>
      </x:c>
      <x:c r="L51" s="13" t="str">
        <x:v>철근</x:v>
      </x:c>
      <x:c r="M51" s="13" t="str">
        <x:v>D16</x:v>
      </x:c>
      <x:c r="N51" s="24" t="str">
        <x:v>반영</x:v>
      </x:c>
      <x:c r="O51" s="29" t="n">
        <x:f>IF(AND(N51="반영",ISNUMBER(H51)),H51,"미산정")</x:f>
        <x:v>3390</x:v>
      </x:c>
      <x:c r="P51" s="24" t="str">
        <x:v>미제공</x:v>
      </x:c>
      <x:c r="Q51" s="13" t="str">
        <x:v>등록 품목·규격과 일치</x:v>
      </x:c>
      <x:c r="R51" s="65" t="n">
        <x:f>K51</x:f>
        <x:v>17</x:v>
      </x:c>
      <x:c r="S51" s="67" t="n">
        <x:f>MAX(0,MIN(1,($B$15-I51+1)/(J51-I51+1)))</x:f>
        <x:v>0</x:v>
      </x:c>
      <x:c r="T51" s="71" t="n">
        <x:f>IF(ISNUMBER(O51),IF(R51&lt;=$B$15,O51,0),"미산정")</x:f>
        <x:v>0</x:v>
      </x:c>
      <x:c r="U51" s="71" t="n">
        <x:f>IF(ISNUMBER(O51),MIN(T51,ROUND(O51*S51,0)),"미산정")</x:f>
        <x:v>0</x:v>
      </x:c>
      <x:c r="V51" s="71" t="n">
        <x:f>IF(ISNUMBER(O51),T51-U51,"미산정")</x:f>
        <x:v>0</x:v>
      </x:c>
      <x:c r="W51" s="71" t="n">
        <x:f>IF(ISNUMBER(O51),O51-T51,"미산정")</x:f>
        <x:v>3390</x:v>
      </x:c>
      <x:c r="X51" s="71" t="n">
        <x:f>IF(ISNUMBER(O51),O51-U51,"미산정")</x:f>
        <x:v>3390</x:v>
      </x:c>
    </x:row>
    <x:row r="52" ht="44" customHeight="1">
      <x:c r="A52" s="25" t="n">
        <x:v>42</x:v>
      </x:c>
      <x:c r="B52" s="25" t="str">
        <x:v>112동</x:v>
      </x:c>
      <x:c r="C52" s="6" t="str">
        <x:v>벽체·기둥 철근배근</x:v>
      </x:c>
      <x:c r="D52" s="6" t="str">
        <x:v>RB-D19</x:v>
      </x:c>
      <x:c r="E52" s="6" t="str">
        <x:v>철근</x:v>
      </x:c>
      <x:c r="F52" s="6" t="str">
        <x:v>SD500 D19 / 부위별 공장 가공</x:v>
      </x:c>
      <x:c r="G52" s="6" t="str">
        <x:v>kg</x:v>
      </x:c>
      <x:c r="H52" s="18" t="n">
        <x:v>3390</x:v>
      </x:c>
      <x:c r="I52" s="27" t="n">
        <x:v>18</x:v>
      </x:c>
      <x:c r="J52" s="27" t="n">
        <x:v>22</x:v>
      </x:c>
      <x:c r="K52" s="27" t="n">
        <x:v>17</x:v>
      </x:c>
      <x:c r="L52" s="6" t="str">
        <x:v>철근</x:v>
      </x:c>
      <x:c r="M52" s="6" t="str">
        <x:v>D19</x:v>
      </x:c>
      <x:c r="N52" s="25" t="str">
        <x:v>반영</x:v>
      </x:c>
      <x:c r="O52" s="30" t="n">
        <x:f>IF(AND(N52="반영",ISNUMBER(H52)),H52,"미산정")</x:f>
        <x:v>3390</x:v>
      </x:c>
      <x:c r="P52" s="25" t="str">
        <x:v>미제공</x:v>
      </x:c>
      <x:c r="Q52" s="6" t="str">
        <x:v>등록 품목·규격과 일치</x:v>
      </x:c>
      <x:c r="R52" s="65" t="n">
        <x:f>K52</x:f>
        <x:v>17</x:v>
      </x:c>
      <x:c r="S52" s="68" t="n">
        <x:f>MAX(0,MIN(1,($B$15-I52+1)/(J52-I52+1)))</x:f>
        <x:v>0</x:v>
      </x:c>
      <x:c r="T52" s="72" t="n">
        <x:f>IF(ISNUMBER(O52),IF(R52&lt;=$B$15,O52,0),"미산정")</x:f>
        <x:v>0</x:v>
      </x:c>
      <x:c r="U52" s="72" t="n">
        <x:f>IF(ISNUMBER(O52),MIN(T52,ROUND(O52*S52,0)),"미산정")</x:f>
        <x:v>0</x:v>
      </x:c>
      <x:c r="V52" s="72" t="n">
        <x:f>IF(ISNUMBER(O52),T52-U52,"미산정")</x:f>
        <x:v>0</x:v>
      </x:c>
      <x:c r="W52" s="72" t="n">
        <x:f>IF(ISNUMBER(O52),O52-T52,"미산정")</x:f>
        <x:v>3390</x:v>
      </x:c>
      <x:c r="X52" s="72" t="n">
        <x:f>IF(ISNUMBER(O52),O52-U52,"미산정")</x:f>
        <x:v>3390</x:v>
      </x:c>
    </x:row>
    <x:row r="53" ht="44" customHeight="1">
      <x:c r="A53" s="24" t="n">
        <x:v>43</x:v>
      </x:c>
      <x:c r="B53" s="24" t="str">
        <x:v>112동</x:v>
      </x:c>
      <x:c r="C53" s="13" t="str">
        <x:v>벽체·기둥 철근배근</x:v>
      </x:c>
      <x:c r="D53" s="13" t="str">
        <x:v>RB-D22</x:v>
      </x:c>
      <x:c r="E53" s="13" t="str">
        <x:v>철근</x:v>
      </x:c>
      <x:c r="F53" s="13" t="str">
        <x:v>SD500 D22 / 부위별 공장 가공</x:v>
      </x:c>
      <x:c r="G53" s="13" t="str">
        <x:v>kg</x:v>
      </x:c>
      <x:c r="H53" s="17" t="n">
        <x:v>4520</x:v>
      </x:c>
      <x:c r="I53" s="26" t="n">
        <x:v>18</x:v>
      </x:c>
      <x:c r="J53" s="26" t="n">
        <x:v>22</x:v>
      </x:c>
      <x:c r="K53" s="26" t="n">
        <x:v>17</x:v>
      </x:c>
      <x:c r="L53" s="13" t="str">
        <x:v>철근</x:v>
      </x:c>
      <x:c r="M53" s="13" t="str">
        <x:v>D22</x:v>
      </x:c>
      <x:c r="N53" s="24" t="str">
        <x:v>반영</x:v>
      </x:c>
      <x:c r="O53" s="29" t="n">
        <x:f>IF(AND(N53="반영",ISNUMBER(H53)),H53,"미산정")</x:f>
        <x:v>4520</x:v>
      </x:c>
      <x:c r="P53" s="24" t="str">
        <x:v>미제공</x:v>
      </x:c>
      <x:c r="Q53" s="13" t="str">
        <x:v>등록 품목·규격과 일치</x:v>
      </x:c>
      <x:c r="R53" s="65" t="n">
        <x:f>K53</x:f>
        <x:v>17</x:v>
      </x:c>
      <x:c r="S53" s="67" t="n">
        <x:f>MAX(0,MIN(1,($B$15-I53+1)/(J53-I53+1)))</x:f>
        <x:v>0</x:v>
      </x:c>
      <x:c r="T53" s="71" t="n">
        <x:f>IF(ISNUMBER(O53),IF(R53&lt;=$B$15,O53,0),"미산정")</x:f>
        <x:v>0</x:v>
      </x:c>
      <x:c r="U53" s="71" t="n">
        <x:f>IF(ISNUMBER(O53),MIN(T53,ROUND(O53*S53,0)),"미산정")</x:f>
        <x:v>0</x:v>
      </x:c>
      <x:c r="V53" s="71" t="n">
        <x:f>IF(ISNUMBER(O53),T53-U53,"미산정")</x:f>
        <x:v>0</x:v>
      </x:c>
      <x:c r="W53" s="71" t="n">
        <x:f>IF(ISNUMBER(O53),O53-T53,"미산정")</x:f>
        <x:v>4520</x:v>
      </x:c>
      <x:c r="X53" s="71" t="n">
        <x:f>IF(ISNUMBER(O53),O53-U53,"미산정")</x:f>
        <x:v>4520</x:v>
      </x:c>
    </x:row>
    <x:row r="54" ht="44" customHeight="1">
      <x:c r="A54" s="25" t="n">
        <x:v>44</x:v>
      </x:c>
      <x:c r="B54" s="25" t="str">
        <x:v>112동</x:v>
      </x:c>
      <x:c r="C54" s="6" t="str">
        <x:v>벽체·기둥 철근배근</x:v>
      </x:c>
      <x:c r="D54" s="6" t="str">
        <x:v>RB-D25</x:v>
      </x:c>
      <x:c r="E54" s="6" t="str">
        <x:v>철근</x:v>
      </x:c>
      <x:c r="F54" s="6" t="str">
        <x:v>SD500 D25 / 부위별 공장 가공</x:v>
      </x:c>
      <x:c r="G54" s="6" t="str">
        <x:v>kg</x:v>
      </x:c>
      <x:c r="H54" s="18" t="n">
        <x:v>6780</x:v>
      </x:c>
      <x:c r="I54" s="27" t="n">
        <x:v>18</x:v>
      </x:c>
      <x:c r="J54" s="27" t="n">
        <x:v>22</x:v>
      </x:c>
      <x:c r="K54" s="27" t="n">
        <x:v>17</x:v>
      </x:c>
      <x:c r="L54" s="6" t="str">
        <x:v>철근</x:v>
      </x:c>
      <x:c r="M54" s="6" t="str">
        <x:v>D25</x:v>
      </x:c>
      <x:c r="N54" s="25" t="str">
        <x:v>반영</x:v>
      </x:c>
      <x:c r="O54" s="30" t="n">
        <x:f>IF(AND(N54="반영",ISNUMBER(H54)),H54,"미산정")</x:f>
        <x:v>6780</x:v>
      </x:c>
      <x:c r="P54" s="25" t="str">
        <x:v>미제공</x:v>
      </x:c>
      <x:c r="Q54" s="6" t="str">
        <x:v>등록 품목·규격과 일치</x:v>
      </x:c>
      <x:c r="R54" s="65" t="n">
        <x:f>K54</x:f>
        <x:v>17</x:v>
      </x:c>
      <x:c r="S54" s="68" t="n">
        <x:f>MAX(0,MIN(1,($B$15-I54+1)/(J54-I54+1)))</x:f>
        <x:v>0</x:v>
      </x:c>
      <x:c r="T54" s="72" t="n">
        <x:f>IF(ISNUMBER(O54),IF(R54&lt;=$B$15,O54,0),"미산정")</x:f>
        <x:v>0</x:v>
      </x:c>
      <x:c r="U54" s="72" t="n">
        <x:f>IF(ISNUMBER(O54),MIN(T54,ROUND(O54*S54,0)),"미산정")</x:f>
        <x:v>0</x:v>
      </x:c>
      <x:c r="V54" s="72" t="n">
        <x:f>IF(ISNUMBER(O54),T54-U54,"미산정")</x:f>
        <x:v>0</x:v>
      </x:c>
      <x:c r="W54" s="72" t="n">
        <x:f>IF(ISNUMBER(O54),O54-T54,"미산정")</x:f>
        <x:v>6780</x:v>
      </x:c>
      <x:c r="X54" s="72" t="n">
        <x:f>IF(ISNUMBER(O54),O54-U54,"미산정")</x:f>
        <x:v>6780</x:v>
      </x:c>
    </x:row>
    <x:row r="55" ht="44" customHeight="1">
      <x:c r="A55" s="24" t="n">
        <x:v>45</x:v>
      </x:c>
      <x:c r="B55" s="24" t="str">
        <x:v>112동</x:v>
      </x:c>
      <x:c r="C55" s="13" t="str">
        <x:v>수직부 거푸집 설치</x:v>
      </x:c>
      <x:c r="D55" s="13" t="str">
        <x:v>EF-5012</x:v>
      </x:c>
      <x:c r="E55" s="13" t="str">
        <x:v>유로폼</x:v>
      </x:c>
      <x:c r="F55" s="13" t="str">
        <x:v>500×1,200mm</x:v>
      </x:c>
      <x:c r="G55" s="13" t="str">
        <x:v>장</x:v>
      </x:c>
      <x:c r="H55" s="17" t="n">
        <x:v>911</x:v>
      </x:c>
      <x:c r="I55" s="26" t="n">
        <x:v>23</x:v>
      </x:c>
      <x:c r="J55" s="26" t="n">
        <x:v>29</x:v>
      </x:c>
      <x:c r="K55" s="26" t="n">
        <x:v>22</x:v>
      </x:c>
      <x:c r="L55" s="13" t="str">
        <x:v>유로폼</x:v>
      </x:c>
      <x:c r="M55" s="13" t="str">
        <x:v>500x1200</x:v>
      </x:c>
      <x:c r="N55" s="24" t="str">
        <x:v>반영</x:v>
      </x:c>
      <x:c r="O55" s="29" t="n">
        <x:f>IF(AND(N55="반영",ISNUMBER(H55)),H55,"미산정")</x:f>
        <x:v>911</x:v>
      </x:c>
      <x:c r="P55" s="24" t="str">
        <x:v>해당 없음</x:v>
      </x:c>
      <x:c r="Q55" s="13" t="str">
        <x:v>등록 품목·규격과 일치</x:v>
      </x:c>
      <x:c r="R55" s="65" t="n">
        <x:f>K55</x:f>
        <x:v>22</x:v>
      </x:c>
      <x:c r="S55" s="67" t="n">
        <x:f>MAX(0,MIN(1,($B$15-I55+1)/(J55-I55+1)))</x:f>
        <x:v>0</x:v>
      </x:c>
      <x:c r="T55" s="71" t="n">
        <x:f>IF(ISNUMBER(O55),IF(R55&lt;=$B$15,O55,0),"미산정")</x:f>
        <x:v>0</x:v>
      </x:c>
      <x:c r="U55" s="71" t="n">
        <x:f>IF(ISNUMBER(O55),MIN(T55,ROUND(O55*S55,0)),"미산정")</x:f>
        <x:v>0</x:v>
      </x:c>
      <x:c r="V55" s="71" t="n">
        <x:f>IF(ISNUMBER(O55),T55-U55,"미산정")</x:f>
        <x:v>0</x:v>
      </x:c>
      <x:c r="W55" s="71" t="n">
        <x:f>IF(ISNUMBER(O55),O55-T55,"미산정")</x:f>
        <x:v>911</x:v>
      </x:c>
      <x:c r="X55" s="71" t="n">
        <x:f>IF(ISNUMBER(O55),O55-U55,"미산정")</x:f>
        <x:v>911</x:v>
      </x:c>
    </x:row>
    <x:row r="56" ht="44" customHeight="1">
      <x:c r="A56" s="25" t="n">
        <x:v>46</x:v>
      </x:c>
      <x:c r="B56" s="25" t="str">
        <x:v>112동</x:v>
      </x:c>
      <x:c r="C56" s="6" t="str">
        <x:v>수직부 거푸집 설치</x:v>
      </x:c>
      <x:c r="D56" s="6" t="str">
        <x:v>EF-6012</x:v>
      </x:c>
      <x:c r="E56" s="6" t="str">
        <x:v>유로폼</x:v>
      </x:c>
      <x:c r="F56" s="6" t="str">
        <x:v>600×1,200mm</x:v>
      </x:c>
      <x:c r="G56" s="6" t="str">
        <x:v>장</x:v>
      </x:c>
      <x:c r="H56" s="18" t="n">
        <x:v>316</x:v>
      </x:c>
      <x:c r="I56" s="27" t="n">
        <x:v>23</x:v>
      </x:c>
      <x:c r="J56" s="27" t="n">
        <x:v>29</x:v>
      </x:c>
      <x:c r="K56" s="27" t="n">
        <x:v>22</x:v>
      </x:c>
      <x:c r="L56" s="6" t="str">
        <x:v>유로폼</x:v>
      </x:c>
      <x:c r="M56" s="6" t="str">
        <x:v>600x1200</x:v>
      </x:c>
      <x:c r="N56" s="25" t="str">
        <x:v>반영</x:v>
      </x:c>
      <x:c r="O56" s="30" t="n">
        <x:f>IF(AND(N56="반영",ISNUMBER(H56)),H56,"미산정")</x:f>
        <x:v>316</x:v>
      </x:c>
      <x:c r="P56" s="25" t="str">
        <x:v>해당 없음</x:v>
      </x:c>
      <x:c r="Q56" s="6" t="str">
        <x:v>등록 품목·규격과 일치</x:v>
      </x:c>
      <x:c r="R56" s="65" t="n">
        <x:f>K56</x:f>
        <x:v>22</x:v>
      </x:c>
      <x:c r="S56" s="68" t="n">
        <x:f>MAX(0,MIN(1,($B$15-I56+1)/(J56-I56+1)))</x:f>
        <x:v>0</x:v>
      </x:c>
      <x:c r="T56" s="72" t="n">
        <x:f>IF(ISNUMBER(O56),IF(R56&lt;=$B$15,O56,0),"미산정")</x:f>
        <x:v>0</x:v>
      </x:c>
      <x:c r="U56" s="72" t="n">
        <x:f>IF(ISNUMBER(O56),MIN(T56,ROUND(O56*S56,0)),"미산정")</x:f>
        <x:v>0</x:v>
      </x:c>
      <x:c r="V56" s="72" t="n">
        <x:f>IF(ISNUMBER(O56),T56-U56,"미산정")</x:f>
        <x:v>0</x:v>
      </x:c>
      <x:c r="W56" s="72" t="n">
        <x:f>IF(ISNUMBER(O56),O56-T56,"미산정")</x:f>
        <x:v>316</x:v>
      </x:c>
      <x:c r="X56" s="72" t="n">
        <x:f>IF(ISNUMBER(O56),O56-U56,"미산정")</x:f>
        <x:v>316</x:v>
      </x:c>
    </x:row>
    <x:row r="57" ht="44" customHeight="1">
      <x:c r="A57" s="24" t="n">
        <x:v>47</x:v>
      </x:c>
      <x:c r="B57" s="24" t="str">
        <x:v>112동</x:v>
      </x:c>
      <x:c r="C57" s="13" t="str">
        <x:v>수직부 거푸집 설치</x:v>
      </x:c>
      <x:c r="D57" s="13" t="str">
        <x:v>EF-3012</x:v>
      </x:c>
      <x:c r="E57" s="13" t="str">
        <x:v>유로폼</x:v>
      </x:c>
      <x:c r="F57" s="13" t="str">
        <x:v>300×1,200mm</x:v>
      </x:c>
      <x:c r="G57" s="13" t="str">
        <x:v>장</x:v>
      </x:c>
      <x:c r="H57" s="17" t="n">
        <x:v>253</x:v>
      </x:c>
      <x:c r="I57" s="26" t="n">
        <x:v>23</x:v>
      </x:c>
      <x:c r="J57" s="26" t="n">
        <x:v>29</x:v>
      </x:c>
      <x:c r="K57" s="26" t="n">
        <x:v>22</x:v>
      </x:c>
      <x:c r="L57" s="13" t="str">
        <x:v>유로폼</x:v>
      </x:c>
      <x:c r="M57" s="13" t="str">
        <x:v>300x1200</x:v>
      </x:c>
      <x:c r="N57" s="24" t="str">
        <x:v>반영</x:v>
      </x:c>
      <x:c r="O57" s="29" t="n">
        <x:f>IF(AND(N57="반영",ISNUMBER(H57)),H57,"미산정")</x:f>
        <x:v>253</x:v>
      </x:c>
      <x:c r="P57" s="24" t="str">
        <x:v>해당 없음</x:v>
      </x:c>
      <x:c r="Q57" s="13" t="str">
        <x:v>등록 품목·규격과 일치</x:v>
      </x:c>
      <x:c r="R57" s="65" t="n">
        <x:f>K57</x:f>
        <x:v>22</x:v>
      </x:c>
      <x:c r="S57" s="67" t="n">
        <x:f>MAX(0,MIN(1,($B$15-I57+1)/(J57-I57+1)))</x:f>
        <x:v>0</x:v>
      </x:c>
      <x:c r="T57" s="71" t="n">
        <x:f>IF(ISNUMBER(O57),IF(R57&lt;=$B$15,O57,0),"미산정")</x:f>
        <x:v>0</x:v>
      </x:c>
      <x:c r="U57" s="71" t="n">
        <x:f>IF(ISNUMBER(O57),MIN(T57,ROUND(O57*S57,0)),"미산정")</x:f>
        <x:v>0</x:v>
      </x:c>
      <x:c r="V57" s="71" t="n">
        <x:f>IF(ISNUMBER(O57),T57-U57,"미산정")</x:f>
        <x:v>0</x:v>
      </x:c>
      <x:c r="W57" s="71" t="n">
        <x:f>IF(ISNUMBER(O57),O57-T57,"미산정")</x:f>
        <x:v>253</x:v>
      </x:c>
      <x:c r="X57" s="71" t="n">
        <x:f>IF(ISNUMBER(O57),O57-U57,"미산정")</x:f>
        <x:v>253</x:v>
      </x:c>
    </x:row>
    <x:row r="58" ht="44" customHeight="1">
      <x:c r="A58" s="25" t="n">
        <x:v>48</x:v>
      </x:c>
      <x:c r="B58" s="25" t="str">
        <x:v>112동</x:v>
      </x:c>
      <x:c r="C58" s="6" t="str">
        <x:v>수직부 거푸집 설치</x:v>
      </x:c>
      <x:c r="D58" s="6" t="str">
        <x:v>EF-5006</x:v>
      </x:c>
      <x:c r="E58" s="6" t="str">
        <x:v>유로폼</x:v>
      </x:c>
      <x:c r="F58" s="6" t="str">
        <x:v>500×600mm</x:v>
      </x:c>
      <x:c r="G58" s="6" t="str">
        <x:v>장</x:v>
      </x:c>
      <x:c r="H58" s="18" t="n">
        <x:v>152</x:v>
      </x:c>
      <x:c r="I58" s="27" t="n">
        <x:v>23</x:v>
      </x:c>
      <x:c r="J58" s="27" t="n">
        <x:v>29</x:v>
      </x:c>
      <x:c r="K58" s="27" t="n">
        <x:v>22</x:v>
      </x:c>
      <x:c r="L58" s="6" t="str">
        <x:v>미등록</x:v>
      </x:c>
      <x:c r="M58" s="6" t="str">
        <x:v>미산정</x:v>
      </x:c>
      <x:c r="N58" s="28" t="str">
        <x:v>미산정</x:v>
      </x:c>
      <x:c r="O58" s="31" t="str">
        <x:f>IF(AND(N58="반영",ISNUMBER(H58)),H58,"미산정")</x:f>
        <x:v>미산정</x:v>
      </x:c>
      <x:c r="P58" s="28" t="str">
        <x:v>해당 없음</x:v>
      </x:c>
      <x:c r="Q58" s="14" t="str">
        <x:v>유로폼 500×600은 현재 웹 등록 규격에 없음</x:v>
      </x:c>
      <x:c r="R58" s="65" t="n">
        <x:f>K58</x:f>
        <x:v>22</x:v>
      </x:c>
      <x:c r="S58" s="68" t="n">
        <x:f>MAX(0,MIN(1,($B$15-I58+1)/(J58-I58+1)))</x:f>
        <x:v>0</x:v>
      </x:c>
      <x:c r="T58" s="72" t="str">
        <x:f>IF(ISNUMBER(O58),IF(R58&lt;=$B$15,O58,0),"미산정")</x:f>
        <x:v>미산정</x:v>
      </x:c>
      <x:c r="U58" s="72" t="str">
        <x:f>IF(ISNUMBER(O58),MIN(T58,ROUND(O58*S58,0)),"미산정")</x:f>
        <x:v>미산정</x:v>
      </x:c>
      <x:c r="V58" s="72" t="str">
        <x:f>IF(ISNUMBER(O58),T58-U58,"미산정")</x:f>
        <x:v>미산정</x:v>
      </x:c>
      <x:c r="W58" s="72" t="str">
        <x:f>IF(ISNUMBER(O58),O58-T58,"미산정")</x:f>
        <x:v>미산정</x:v>
      </x:c>
      <x:c r="X58" s="72" t="str">
        <x:f>IF(ISNUMBER(O58),O58-U58,"미산정")</x:f>
        <x:v>미산정</x:v>
      </x:c>
    </x:row>
    <x:row r="59" ht="44" customHeight="1">
      <x:c r="A59" s="24" t="n">
        <x:v>49</x:v>
      </x:c>
      <x:c r="B59" s="24" t="str">
        <x:v>112동</x:v>
      </x:c>
      <x:c r="C59" s="13" t="str">
        <x:v>수직부 거푸집 설치</x:v>
      </x:c>
      <x:c r="D59" s="13" t="str">
        <x:v>PW-1224</x:v>
      </x:c>
      <x:c r="E59" s="13" t="str">
        <x:v>코팅합판</x:v>
      </x:c>
      <x:c r="F59" s="13" t="str">
        <x:v>1,220×2,440×12mm</x:v>
      </x:c>
      <x:c r="G59" s="13" t="str">
        <x:v>장</x:v>
      </x:c>
      <x:c r="H59" s="17" t="n">
        <x:v>15</x:v>
      </x:c>
      <x:c r="I59" s="26" t="n">
        <x:v>23</x:v>
      </x:c>
      <x:c r="J59" s="26" t="n">
        <x:v>29</x:v>
      </x:c>
      <x:c r="K59" s="26" t="n">
        <x:v>22</x:v>
      </x:c>
      <x:c r="L59" s="13" t="str">
        <x:v>미등록</x:v>
      </x:c>
      <x:c r="M59" s="13" t="str">
        <x:v>미산정</x:v>
      </x:c>
      <x:c r="N59" s="28" t="str">
        <x:v>미산정</x:v>
      </x:c>
      <x:c r="O59" s="31" t="str">
        <x:f>IF(AND(N59="반영",ISNUMBER(H59)),H59,"미산정")</x:f>
        <x:v>미산정</x:v>
      </x:c>
      <x:c r="P59" s="28" t="str">
        <x:v>해당 없음</x:v>
      </x:c>
      <x:c r="Q59" s="14" t="str">
        <x:v>현재 웹 등록 품목에 없음. 다른 품목으로 대체하지 않음</x:v>
      </x:c>
      <x:c r="R59" s="65" t="n">
        <x:f>K59</x:f>
        <x:v>22</x:v>
      </x:c>
      <x:c r="S59" s="67" t="n">
        <x:f>MAX(0,MIN(1,($B$15-I59+1)/(J59-I59+1)))</x:f>
        <x:v>0</x:v>
      </x:c>
      <x:c r="T59" s="71" t="str">
        <x:f>IF(ISNUMBER(O59),IF(R59&lt;=$B$15,O59,0),"미산정")</x:f>
        <x:v>미산정</x:v>
      </x:c>
      <x:c r="U59" s="71" t="str">
        <x:f>IF(ISNUMBER(O59),MIN(T59,ROUND(O59*S59,0)),"미산정")</x:f>
        <x:v>미산정</x:v>
      </x:c>
      <x:c r="V59" s="71" t="str">
        <x:f>IF(ISNUMBER(O59),T59-U59,"미산정")</x:f>
        <x:v>미산정</x:v>
      </x:c>
      <x:c r="W59" s="71" t="str">
        <x:f>IF(ISNUMBER(O59),O59-T59,"미산정")</x:f>
        <x:v>미산정</x:v>
      </x:c>
      <x:c r="X59" s="71" t="str">
        <x:f>IF(ISNUMBER(O59),O59-U59,"미산정")</x:f>
        <x:v>미산정</x:v>
      </x:c>
    </x:row>
    <x:row r="60" ht="44" customHeight="1">
      <x:c r="A60" s="25" t="n">
        <x:v>50</x:v>
      </x:c>
      <x:c r="B60" s="25" t="str">
        <x:v>112동</x:v>
      </x:c>
      <x:c r="C60" s="6" t="str">
        <x:v>수직부 거푸집 설치</x:v>
      </x:c>
      <x:c r="D60" s="6" t="str">
        <x:v>IC-1012</x:v>
      </x:c>
      <x:c r="E60" s="6" t="str">
        <x:v>인코너</x:v>
      </x:c>
      <x:c r="F60" s="6" t="str">
        <x:v>100×100×1,200mm</x:v>
      </x:c>
      <x:c r="G60" s="6" t="str">
        <x:v>개</x:v>
      </x:c>
      <x:c r="H60" s="18" t="n">
        <x:v>70</x:v>
      </x:c>
      <x:c r="I60" s="27" t="n">
        <x:v>23</x:v>
      </x:c>
      <x:c r="J60" s="27" t="n">
        <x:v>29</x:v>
      </x:c>
      <x:c r="K60" s="27" t="n">
        <x:v>22</x:v>
      </x:c>
      <x:c r="L60" s="6" t="str">
        <x:v>미등록</x:v>
      </x:c>
      <x:c r="M60" s="6" t="str">
        <x:v>미산정</x:v>
      </x:c>
      <x:c r="N60" s="28" t="str">
        <x:v>미산정</x:v>
      </x:c>
      <x:c r="O60" s="31" t="str">
        <x:f>IF(AND(N60="반영",ISNUMBER(H60)),H60,"미산정")</x:f>
        <x:v>미산정</x:v>
      </x:c>
      <x:c r="P60" s="28" t="str">
        <x:v>해당 없음</x:v>
      </x:c>
      <x:c r="Q60" s="14" t="str">
        <x:v>현재 웹 등록 품목에 없음. 다른 품목으로 대체하지 않음</x:v>
      </x:c>
      <x:c r="R60" s="65" t="n">
        <x:f>K60</x:f>
        <x:v>22</x:v>
      </x:c>
      <x:c r="S60" s="68" t="n">
        <x:f>MAX(0,MIN(1,($B$15-I60+1)/(J60-I60+1)))</x:f>
        <x:v>0</x:v>
      </x:c>
      <x:c r="T60" s="72" t="str">
        <x:f>IF(ISNUMBER(O60),IF(R60&lt;=$B$15,O60,0),"미산정")</x:f>
        <x:v>미산정</x:v>
      </x:c>
      <x:c r="U60" s="72" t="str">
        <x:f>IF(ISNUMBER(O60),MIN(T60,ROUND(O60*S60,0)),"미산정")</x:f>
        <x:v>미산정</x:v>
      </x:c>
      <x:c r="V60" s="72" t="str">
        <x:f>IF(ISNUMBER(O60),T60-U60,"미산정")</x:f>
        <x:v>미산정</x:v>
      </x:c>
      <x:c r="W60" s="72" t="str">
        <x:f>IF(ISNUMBER(O60),O60-T60,"미산정")</x:f>
        <x:v>미산정</x:v>
      </x:c>
      <x:c r="X60" s="72" t="str">
        <x:f>IF(ISNUMBER(O60),O60-U60,"미산정")</x:f>
        <x:v>미산정</x:v>
      </x:c>
    </x:row>
    <x:row r="61" ht="44" customHeight="1">
      <x:c r="A61" s="24" t="n">
        <x:v>51</x:v>
      </x:c>
      <x:c r="B61" s="24" t="str">
        <x:v>112동</x:v>
      </x:c>
      <x:c r="C61" s="13" t="str">
        <x:v>수직부 거푸집 설치</x:v>
      </x:c>
      <x:c r="D61" s="13" t="str">
        <x:v>OC-12</x:v>
      </x:c>
      <x:c r="E61" s="13" t="str">
        <x:v>아웃코너</x:v>
      </x:c>
      <x:c r="F61" s="13" t="str">
        <x:v>길이 1,200mm</x:v>
      </x:c>
      <x:c r="G61" s="13" t="str">
        <x:v>개</x:v>
      </x:c>
      <x:c r="H61" s="17" t="n">
        <x:v>360</x:v>
      </x:c>
      <x:c r="I61" s="26" t="n">
        <x:v>23</x:v>
      </x:c>
      <x:c r="J61" s="26" t="n">
        <x:v>29</x:v>
      </x:c>
      <x:c r="K61" s="26" t="n">
        <x:v>22</x:v>
      </x:c>
      <x:c r="L61" s="13" t="str">
        <x:v>미등록</x:v>
      </x:c>
      <x:c r="M61" s="13" t="str">
        <x:v>미산정</x:v>
      </x:c>
      <x:c r="N61" s="28" t="str">
        <x:v>미산정</x:v>
      </x:c>
      <x:c r="O61" s="31" t="str">
        <x:f>IF(AND(N61="반영",ISNUMBER(H61)),H61,"미산정")</x:f>
        <x:v>미산정</x:v>
      </x:c>
      <x:c r="P61" s="28" t="str">
        <x:v>해당 없음</x:v>
      </x:c>
      <x:c r="Q61" s="14" t="str">
        <x:v>현재 웹 등록 품목에 없음. 다른 품목으로 대체하지 않음</x:v>
      </x:c>
      <x:c r="R61" s="65" t="n">
        <x:f>K61</x:f>
        <x:v>22</x:v>
      </x:c>
      <x:c r="S61" s="67" t="n">
        <x:f>MAX(0,MIN(1,($B$15-I61+1)/(J61-I61+1)))</x:f>
        <x:v>0</x:v>
      </x:c>
      <x:c r="T61" s="71" t="str">
        <x:f>IF(ISNUMBER(O61),IF(R61&lt;=$B$15,O61,0),"미산정")</x:f>
        <x:v>미산정</x:v>
      </x:c>
      <x:c r="U61" s="71" t="str">
        <x:f>IF(ISNUMBER(O61),MIN(T61,ROUND(O61*S61,0)),"미산정")</x:f>
        <x:v>미산정</x:v>
      </x:c>
      <x:c r="V61" s="71" t="str">
        <x:f>IF(ISNUMBER(O61),T61-U61,"미산정")</x:f>
        <x:v>미산정</x:v>
      </x:c>
      <x:c r="W61" s="71" t="str">
        <x:f>IF(ISNUMBER(O61),O61-T61,"미산정")</x:f>
        <x:v>미산정</x:v>
      </x:c>
      <x:c r="X61" s="71" t="str">
        <x:f>IF(ISNUMBER(O61),O61-U61,"미산정")</x:f>
        <x:v>미산정</x:v>
      </x:c>
    </x:row>
    <x:row r="62" ht="44" customHeight="1">
      <x:c r="A62" s="25" t="n">
        <x:v>52</x:v>
      </x:c>
      <x:c r="B62" s="25" t="str">
        <x:v>112동</x:v>
      </x:c>
      <x:c r="C62" s="6" t="str">
        <x:v>시스템동바리 조립</x:v>
      </x:c>
      <x:c r="D62" s="6" t="str">
        <x:v>SV-1725</x:v>
      </x:c>
      <x:c r="E62" s="6" t="str">
        <x:v>수직재</x:v>
      </x:c>
      <x:c r="F62" s="6" t="str">
        <x:v>Ø60.5 / L=1,725mm</x:v>
      </x:c>
      <x:c r="G62" s="6" t="str">
        <x:v>본</x:v>
      </x:c>
      <x:c r="H62" s="18" t="n">
        <x:v>979</x:v>
      </x:c>
      <x:c r="I62" s="27" t="n">
        <x:v>30</x:v>
      </x:c>
      <x:c r="J62" s="27" t="n">
        <x:v>32</x:v>
      </x:c>
      <x:c r="K62" s="27" t="n">
        <x:v>29</x:v>
      </x:c>
      <x:c r="L62" s="6" t="str">
        <x:v>미등록</x:v>
      </x:c>
      <x:c r="M62" s="6" t="str">
        <x:v>미산정</x:v>
      </x:c>
      <x:c r="N62" s="28" t="str">
        <x:v>미산정</x:v>
      </x:c>
      <x:c r="O62" s="31" t="str">
        <x:f>IF(AND(N62="반영",ISNUMBER(H62)),H62,"미산정")</x:f>
        <x:v>미산정</x:v>
      </x:c>
      <x:c r="P62" s="28" t="str">
        <x:v>해당 없음</x:v>
      </x:c>
      <x:c r="Q62" s="14" t="str">
        <x:v>원자료 치수·DSD 코드와 웹 P·H·OB 규격의 동일성 미확인</x:v>
      </x:c>
      <x:c r="R62" s="65" t="n">
        <x:f>K62</x:f>
        <x:v>29</x:v>
      </x:c>
      <x:c r="S62" s="68" t="n">
        <x:f>MAX(0,MIN(1,($B$15-I62+1)/(J62-I62+1)))</x:f>
        <x:v>0</x:v>
      </x:c>
      <x:c r="T62" s="72" t="str">
        <x:f>IF(ISNUMBER(O62),IF(R62&lt;=$B$15,O62,0),"미산정")</x:f>
        <x:v>미산정</x:v>
      </x:c>
      <x:c r="U62" s="72" t="str">
        <x:f>IF(ISNUMBER(O62),MIN(T62,ROUND(O62*S62,0)),"미산정")</x:f>
        <x:v>미산정</x:v>
      </x:c>
      <x:c r="V62" s="72" t="str">
        <x:f>IF(ISNUMBER(O62),T62-U62,"미산정")</x:f>
        <x:v>미산정</x:v>
      </x:c>
      <x:c r="W62" s="72" t="str">
        <x:f>IF(ISNUMBER(O62),O62-T62,"미산정")</x:f>
        <x:v>미산정</x:v>
      </x:c>
      <x:c r="X62" s="72" t="str">
        <x:f>IF(ISNUMBER(O62),O62-U62,"미산정")</x:f>
        <x:v>미산정</x:v>
      </x:c>
    </x:row>
    <x:row r="63" ht="44" customHeight="1">
      <x:c r="A63" s="24" t="n">
        <x:v>53</x:v>
      </x:c>
      <x:c r="B63" s="24" t="str">
        <x:v>112동</x:v>
      </x:c>
      <x:c r="C63" s="13" t="str">
        <x:v>시스템동바리 조립</x:v>
      </x:c>
      <x:c r="D63" s="13" t="str">
        <x:v>SV-1291</x:v>
      </x:c>
      <x:c r="E63" s="13" t="str">
        <x:v>수직재</x:v>
      </x:c>
      <x:c r="F63" s="13" t="str">
        <x:v>Ø60.5 / L=1,291mm</x:v>
      </x:c>
      <x:c r="G63" s="13" t="str">
        <x:v>본</x:v>
      </x:c>
      <x:c r="H63" s="17" t="n">
        <x:v>197</x:v>
      </x:c>
      <x:c r="I63" s="26" t="n">
        <x:v>30</x:v>
      </x:c>
      <x:c r="J63" s="26" t="n">
        <x:v>32</x:v>
      </x:c>
      <x:c r="K63" s="26" t="n">
        <x:v>29</x:v>
      </x:c>
      <x:c r="L63" s="13" t="str">
        <x:v>미등록</x:v>
      </x:c>
      <x:c r="M63" s="13" t="str">
        <x:v>미산정</x:v>
      </x:c>
      <x:c r="N63" s="28" t="str">
        <x:v>미산정</x:v>
      </x:c>
      <x:c r="O63" s="31" t="str">
        <x:f>IF(AND(N63="반영",ISNUMBER(H63)),H63,"미산정")</x:f>
        <x:v>미산정</x:v>
      </x:c>
      <x:c r="P63" s="28" t="str">
        <x:v>해당 없음</x:v>
      </x:c>
      <x:c r="Q63" s="14" t="str">
        <x:v>원자료 치수·DSD 코드와 웹 P·H·OB 규격의 동일성 미확인</x:v>
      </x:c>
      <x:c r="R63" s="65" t="n">
        <x:f>K63</x:f>
        <x:v>29</x:v>
      </x:c>
      <x:c r="S63" s="67" t="n">
        <x:f>MAX(0,MIN(1,($B$15-I63+1)/(J63-I63+1)))</x:f>
        <x:v>0</x:v>
      </x:c>
      <x:c r="T63" s="71" t="str">
        <x:f>IF(ISNUMBER(O63),IF(R63&lt;=$B$15,O63,0),"미산정")</x:f>
        <x:v>미산정</x:v>
      </x:c>
      <x:c r="U63" s="71" t="str">
        <x:f>IF(ISNUMBER(O63),MIN(T63,ROUND(O63*S63,0)),"미산정")</x:f>
        <x:v>미산정</x:v>
      </x:c>
      <x:c r="V63" s="71" t="str">
        <x:f>IF(ISNUMBER(O63),T63-U63,"미산정")</x:f>
        <x:v>미산정</x:v>
      </x:c>
      <x:c r="W63" s="71" t="str">
        <x:f>IF(ISNUMBER(O63),O63-T63,"미산정")</x:f>
        <x:v>미산정</x:v>
      </x:c>
      <x:c r="X63" s="71" t="str">
        <x:f>IF(ISNUMBER(O63),O63-U63,"미산정")</x:f>
        <x:v>미산정</x:v>
      </x:c>
    </x:row>
    <x:row r="64" ht="44" customHeight="1">
      <x:c r="A64" s="25" t="n">
        <x:v>54</x:v>
      </x:c>
      <x:c r="B64" s="25" t="str">
        <x:v>112동</x:v>
      </x:c>
      <x:c r="C64" s="6" t="str">
        <x:v>시스템동바리 조립</x:v>
      </x:c>
      <x:c r="D64" s="6" t="str">
        <x:v>SV-0863</x:v>
      </x:c>
      <x:c r="E64" s="6" t="str">
        <x:v>수직재</x:v>
      </x:c>
      <x:c r="F64" s="6" t="str">
        <x:v>Ø60.5 / L=863mm</x:v>
      </x:c>
      <x:c r="G64" s="6" t="str">
        <x:v>본</x:v>
      </x:c>
      <x:c r="H64" s="18" t="n">
        <x:v>588</x:v>
      </x:c>
      <x:c r="I64" s="27" t="n">
        <x:v>30</x:v>
      </x:c>
      <x:c r="J64" s="27" t="n">
        <x:v>32</x:v>
      </x:c>
      <x:c r="K64" s="27" t="n">
        <x:v>29</x:v>
      </x:c>
      <x:c r="L64" s="6" t="str">
        <x:v>미등록</x:v>
      </x:c>
      <x:c r="M64" s="6" t="str">
        <x:v>미산정</x:v>
      </x:c>
      <x:c r="N64" s="28" t="str">
        <x:v>미산정</x:v>
      </x:c>
      <x:c r="O64" s="31" t="str">
        <x:f>IF(AND(N64="반영",ISNUMBER(H64)),H64,"미산정")</x:f>
        <x:v>미산정</x:v>
      </x:c>
      <x:c r="P64" s="28" t="str">
        <x:v>해당 없음</x:v>
      </x:c>
      <x:c r="Q64" s="14" t="str">
        <x:v>원자료 치수·DSD 코드와 웹 P·H·OB 규격의 동일성 미확인</x:v>
      </x:c>
      <x:c r="R64" s="65" t="n">
        <x:f>K64</x:f>
        <x:v>29</x:v>
      </x:c>
      <x:c r="S64" s="68" t="n">
        <x:f>MAX(0,MIN(1,($B$15-I64+1)/(J64-I64+1)))</x:f>
        <x:v>0</x:v>
      </x:c>
      <x:c r="T64" s="72" t="str">
        <x:f>IF(ISNUMBER(O64),IF(R64&lt;=$B$15,O64,0),"미산정")</x:f>
        <x:v>미산정</x:v>
      </x:c>
      <x:c r="U64" s="72" t="str">
        <x:f>IF(ISNUMBER(O64),MIN(T64,ROUND(O64*S64,0)),"미산정")</x:f>
        <x:v>미산정</x:v>
      </x:c>
      <x:c r="V64" s="72" t="str">
        <x:f>IF(ISNUMBER(O64),T64-U64,"미산정")</x:f>
        <x:v>미산정</x:v>
      </x:c>
      <x:c r="W64" s="72" t="str">
        <x:f>IF(ISNUMBER(O64),O64-T64,"미산정")</x:f>
        <x:v>미산정</x:v>
      </x:c>
      <x:c r="X64" s="72" t="str">
        <x:f>IF(ISNUMBER(O64),O64-U64,"미산정")</x:f>
        <x:v>미산정</x:v>
      </x:c>
    </x:row>
    <x:row r="65" ht="44" customHeight="1">
      <x:c r="A65" s="24" t="n">
        <x:v>55</x:v>
      </x:c>
      <x:c r="B65" s="24" t="str">
        <x:v>112동</x:v>
      </x:c>
      <x:c r="C65" s="13" t="str">
        <x:v>시스템동바리 조립</x:v>
      </x:c>
      <x:c r="D65" s="13" t="str">
        <x:v>SH-1219</x:v>
      </x:c>
      <x:c r="E65" s="13" t="str">
        <x:v>수평재</x:v>
      </x:c>
      <x:c r="F65" s="13" t="str">
        <x:v>Ø42.7 / 호칭 L=1,219mm</x:v>
      </x:c>
      <x:c r="G65" s="13" t="str">
        <x:v>본</x:v>
      </x:c>
      <x:c r="H65" s="17" t="n">
        <x:v>4508</x:v>
      </x:c>
      <x:c r="I65" s="26" t="n">
        <x:v>30</x:v>
      </x:c>
      <x:c r="J65" s="26" t="n">
        <x:v>32</x:v>
      </x:c>
      <x:c r="K65" s="26" t="n">
        <x:v>29</x:v>
      </x:c>
      <x:c r="L65" s="13" t="str">
        <x:v>미등록</x:v>
      </x:c>
      <x:c r="M65" s="13" t="str">
        <x:v>미산정</x:v>
      </x:c>
      <x:c r="N65" s="28" t="str">
        <x:v>미산정</x:v>
      </x:c>
      <x:c r="O65" s="31" t="str">
        <x:f>IF(AND(N65="반영",ISNUMBER(H65)),H65,"미산정")</x:f>
        <x:v>미산정</x:v>
      </x:c>
      <x:c r="P65" s="28" t="str">
        <x:v>해당 없음</x:v>
      </x:c>
      <x:c r="Q65" s="14" t="str">
        <x:v>원자료 치수·DSD 코드와 웹 P·H·OB 규격의 동일성 미확인</x:v>
      </x:c>
      <x:c r="R65" s="65" t="n">
        <x:f>K65</x:f>
        <x:v>29</x:v>
      </x:c>
      <x:c r="S65" s="67" t="n">
        <x:f>MAX(0,MIN(1,($B$15-I65+1)/(J65-I65+1)))</x:f>
        <x:v>0</x:v>
      </x:c>
      <x:c r="T65" s="71" t="str">
        <x:f>IF(ISNUMBER(O65),IF(R65&lt;=$B$15,O65,0),"미산정")</x:f>
        <x:v>미산정</x:v>
      </x:c>
      <x:c r="U65" s="71" t="str">
        <x:f>IF(ISNUMBER(O65),MIN(T65,ROUND(O65*S65,0)),"미산정")</x:f>
        <x:v>미산정</x:v>
      </x:c>
      <x:c r="V65" s="71" t="str">
        <x:f>IF(ISNUMBER(O65),T65-U65,"미산정")</x:f>
        <x:v>미산정</x:v>
      </x:c>
      <x:c r="W65" s="71" t="str">
        <x:f>IF(ISNUMBER(O65),O65-T65,"미산정")</x:f>
        <x:v>미산정</x:v>
      </x:c>
      <x:c r="X65" s="71" t="str">
        <x:f>IF(ISNUMBER(O65),O65-U65,"미산정")</x:f>
        <x:v>미산정</x:v>
      </x:c>
    </x:row>
    <x:row r="66" ht="44" customHeight="1">
      <x:c r="A66" s="25" t="n">
        <x:v>56</x:v>
      </x:c>
      <x:c r="B66" s="25" t="str">
        <x:v>112동</x:v>
      </x:c>
      <x:c r="C66" s="6" t="str">
        <x:v>시스템동바리 조립</x:v>
      </x:c>
      <x:c r="D66" s="6" t="str">
        <x:v>SB-1712</x:v>
      </x:c>
      <x:c r="E66" s="6" t="str">
        <x:v>가새재</x:v>
      </x:c>
      <x:c r="F66" s="6" t="str">
        <x:v>DSD-1712 / L=1,974mm</x:v>
      </x:c>
      <x:c r="G66" s="6" t="str">
        <x:v>본</x:v>
      </x:c>
      <x:c r="H66" s="18" t="n">
        <x:v>470</x:v>
      </x:c>
      <x:c r="I66" s="27" t="n">
        <x:v>30</x:v>
      </x:c>
      <x:c r="J66" s="27" t="n">
        <x:v>32</x:v>
      </x:c>
      <x:c r="K66" s="27" t="n">
        <x:v>29</x:v>
      </x:c>
      <x:c r="L66" s="6" t="str">
        <x:v>미등록</x:v>
      </x:c>
      <x:c r="M66" s="6" t="str">
        <x:v>미산정</x:v>
      </x:c>
      <x:c r="N66" s="28" t="str">
        <x:v>미산정</x:v>
      </x:c>
      <x:c r="O66" s="31" t="str">
        <x:f>IF(AND(N66="반영",ISNUMBER(H66)),H66,"미산정")</x:f>
        <x:v>미산정</x:v>
      </x:c>
      <x:c r="P66" s="28" t="str">
        <x:v>해당 없음</x:v>
      </x:c>
      <x:c r="Q66" s="14" t="str">
        <x:v>원자료 치수·DSD 코드와 웹 P·H·OB 규격의 동일성 미확인</x:v>
      </x:c>
      <x:c r="R66" s="65" t="n">
        <x:f>K66</x:f>
        <x:v>29</x:v>
      </x:c>
      <x:c r="S66" s="68" t="n">
        <x:f>MAX(0,MIN(1,($B$15-I66+1)/(J66-I66+1)))</x:f>
        <x:v>0</x:v>
      </x:c>
      <x:c r="T66" s="72" t="str">
        <x:f>IF(ISNUMBER(O66),IF(R66&lt;=$B$15,O66,0),"미산정")</x:f>
        <x:v>미산정</x:v>
      </x:c>
      <x:c r="U66" s="72" t="str">
        <x:f>IF(ISNUMBER(O66),MIN(T66,ROUND(O66*S66,0)),"미산정")</x:f>
        <x:v>미산정</x:v>
      </x:c>
      <x:c r="V66" s="72" t="str">
        <x:f>IF(ISNUMBER(O66),T66-U66,"미산정")</x:f>
        <x:v>미산정</x:v>
      </x:c>
      <x:c r="W66" s="72" t="str">
        <x:f>IF(ISNUMBER(O66),O66-T66,"미산정")</x:f>
        <x:v>미산정</x:v>
      </x:c>
      <x:c r="X66" s="72" t="str">
        <x:f>IF(ISNUMBER(O66),O66-U66,"미산정")</x:f>
        <x:v>미산정</x:v>
      </x:c>
    </x:row>
    <x:row r="67" ht="44" customHeight="1">
      <x:c r="A67" s="24" t="n">
        <x:v>57</x:v>
      </x:c>
      <x:c r="B67" s="24" t="str">
        <x:v>112동</x:v>
      </x:c>
      <x:c r="C67" s="13" t="str">
        <x:v>시스템동바리 조립</x:v>
      </x:c>
      <x:c r="D67" s="13" t="str">
        <x:v>SB-1212</x:v>
      </x:c>
      <x:c r="E67" s="13" t="str">
        <x:v>가새재</x:v>
      </x:c>
      <x:c r="F67" s="13" t="str">
        <x:v>DSD-1212 / L=1,609mm</x:v>
      </x:c>
      <x:c r="G67" s="13" t="str">
        <x:v>본</x:v>
      </x:c>
      <x:c r="H67" s="17" t="n">
        <x:v>95</x:v>
      </x:c>
      <x:c r="I67" s="26" t="n">
        <x:v>30</x:v>
      </x:c>
      <x:c r="J67" s="26" t="n">
        <x:v>32</x:v>
      </x:c>
      <x:c r="K67" s="26" t="n">
        <x:v>29</x:v>
      </x:c>
      <x:c r="L67" s="13" t="str">
        <x:v>미등록</x:v>
      </x:c>
      <x:c r="M67" s="13" t="str">
        <x:v>미산정</x:v>
      </x:c>
      <x:c r="N67" s="28" t="str">
        <x:v>미산정</x:v>
      </x:c>
      <x:c r="O67" s="31" t="str">
        <x:f>IF(AND(N67="반영",ISNUMBER(H67)),H67,"미산정")</x:f>
        <x:v>미산정</x:v>
      </x:c>
      <x:c r="P67" s="28" t="str">
        <x:v>해당 없음</x:v>
      </x:c>
      <x:c r="Q67" s="14" t="str">
        <x:v>원자료 치수·DSD 코드와 웹 P·H·OB 규격의 동일성 미확인</x:v>
      </x:c>
      <x:c r="R67" s="65" t="n">
        <x:f>K67</x:f>
        <x:v>29</x:v>
      </x:c>
      <x:c r="S67" s="67" t="n">
        <x:f>MAX(0,MIN(1,($B$15-I67+1)/(J67-I67+1)))</x:f>
        <x:v>0</x:v>
      </x:c>
      <x:c r="T67" s="71" t="str">
        <x:f>IF(ISNUMBER(O67),IF(R67&lt;=$B$15,O67,0),"미산정")</x:f>
        <x:v>미산정</x:v>
      </x:c>
      <x:c r="U67" s="71" t="str">
        <x:f>IF(ISNUMBER(O67),MIN(T67,ROUND(O67*S67,0)),"미산정")</x:f>
        <x:v>미산정</x:v>
      </x:c>
      <x:c r="V67" s="71" t="str">
        <x:f>IF(ISNUMBER(O67),T67-U67,"미산정")</x:f>
        <x:v>미산정</x:v>
      </x:c>
      <x:c r="W67" s="71" t="str">
        <x:f>IF(ISNUMBER(O67),O67-T67,"미산정")</x:f>
        <x:v>미산정</x:v>
      </x:c>
      <x:c r="X67" s="71" t="str">
        <x:f>IF(ISNUMBER(O67),O67-U67,"미산정")</x:f>
        <x:v>미산정</x:v>
      </x:c>
    </x:row>
    <x:row r="68" ht="44" customHeight="1">
      <x:c r="A68" s="25" t="n">
        <x:v>58</x:v>
      </x:c>
      <x:c r="B68" s="25" t="str">
        <x:v>112동</x:v>
      </x:c>
      <x:c r="C68" s="6" t="str">
        <x:v>시스템동바리 조립</x:v>
      </x:c>
      <x:c r="D68" s="6" t="str">
        <x:v>SB-0812</x:v>
      </x:c>
      <x:c r="E68" s="6" t="str">
        <x:v>가새재</x:v>
      </x:c>
      <x:c r="F68" s="6" t="str">
        <x:v>DSD-0812 / L=1,290mm</x:v>
      </x:c>
      <x:c r="G68" s="6" t="str">
        <x:v>본</x:v>
      </x:c>
      <x:c r="H68" s="18" t="n">
        <x:v>282</x:v>
      </x:c>
      <x:c r="I68" s="27" t="n">
        <x:v>30</x:v>
      </x:c>
      <x:c r="J68" s="27" t="n">
        <x:v>32</x:v>
      </x:c>
      <x:c r="K68" s="27" t="n">
        <x:v>29</x:v>
      </x:c>
      <x:c r="L68" s="6" t="str">
        <x:v>미등록</x:v>
      </x:c>
      <x:c r="M68" s="6" t="str">
        <x:v>미산정</x:v>
      </x:c>
      <x:c r="N68" s="28" t="str">
        <x:v>미산정</x:v>
      </x:c>
      <x:c r="O68" s="31" t="str">
        <x:f>IF(AND(N68="반영",ISNUMBER(H68)),H68,"미산정")</x:f>
        <x:v>미산정</x:v>
      </x:c>
      <x:c r="P68" s="28" t="str">
        <x:v>해당 없음</x:v>
      </x:c>
      <x:c r="Q68" s="14" t="str">
        <x:v>원자료 치수·DSD 코드와 웹 P·H·OB 규격의 동일성 미확인</x:v>
      </x:c>
      <x:c r="R68" s="65" t="n">
        <x:f>K68</x:f>
        <x:v>29</x:v>
      </x:c>
      <x:c r="S68" s="68" t="n">
        <x:f>MAX(0,MIN(1,($B$15-I68+1)/(J68-I68+1)))</x:f>
        <x:v>0</x:v>
      </x:c>
      <x:c r="T68" s="72" t="str">
        <x:f>IF(ISNUMBER(O68),IF(R68&lt;=$B$15,O68,0),"미산정")</x:f>
        <x:v>미산정</x:v>
      </x:c>
      <x:c r="U68" s="72" t="str">
        <x:f>IF(ISNUMBER(O68),MIN(T68,ROUND(O68*S68,0)),"미산정")</x:f>
        <x:v>미산정</x:v>
      </x:c>
      <x:c r="V68" s="72" t="str">
        <x:f>IF(ISNUMBER(O68),T68-U68,"미산정")</x:f>
        <x:v>미산정</x:v>
      </x:c>
      <x:c r="W68" s="72" t="str">
        <x:f>IF(ISNUMBER(O68),O68-T68,"미산정")</x:f>
        <x:v>미산정</x:v>
      </x:c>
      <x:c r="X68" s="72" t="str">
        <x:f>IF(ISNUMBER(O68),O68-U68,"미산정")</x:f>
        <x:v>미산정</x:v>
      </x:c>
    </x:row>
    <x:row r="69" ht="44" customHeight="1">
      <x:c r="A69" s="24" t="n">
        <x:v>59</x:v>
      </x:c>
      <x:c r="B69" s="24" t="str">
        <x:v>112동</x:v>
      </x:c>
      <x:c r="C69" s="13" t="str">
        <x:v>시스템동바리 조립</x:v>
      </x:c>
      <x:c r="D69" s="13" t="str">
        <x:v>UJ-600</x:v>
      </x:c>
      <x:c r="E69" s="13" t="str">
        <x:v>U헤드 잭</x:v>
      </x:c>
      <x:c r="F69" s="13" t="str">
        <x:v>Ø45 / L=600mm</x:v>
      </x:c>
      <x:c r="G69" s="13" t="str">
        <x:v>개</x:v>
      </x:c>
      <x:c r="H69" s="17" t="n">
        <x:v>588</x:v>
      </x:c>
      <x:c r="I69" s="26" t="n">
        <x:v>30</x:v>
      </x:c>
      <x:c r="J69" s="26" t="n">
        <x:v>32</x:v>
      </x:c>
      <x:c r="K69" s="26" t="n">
        <x:v>29</x:v>
      </x:c>
      <x:c r="L69" s="13" t="str">
        <x:v>시스템서포트</x:v>
      </x:c>
      <x:c r="M69" s="13" t="str">
        <x:v>동바리 상부자키</x:v>
      </x:c>
      <x:c r="N69" s="24" t="str">
        <x:v>반영</x:v>
      </x:c>
      <x:c r="O69" s="29" t="n">
        <x:f>IF(AND(N69="반영",ISNUMBER(H69)),H69,"미산정")</x:f>
        <x:v>588</x:v>
      </x:c>
      <x:c r="P69" s="24" t="str">
        <x:v>해당 없음</x:v>
      </x:c>
      <x:c r="Q69" s="13" t="str">
        <x:v>U헤드 잭 → 등록된 동바리 상부자키. 원자료 치수 별도 보존</x:v>
      </x:c>
      <x:c r="R69" s="65" t="n">
        <x:f>K69</x:f>
        <x:v>29</x:v>
      </x:c>
      <x:c r="S69" s="67" t="n">
        <x:f>MAX(0,MIN(1,($B$15-I69+1)/(J69-I69+1)))</x:f>
        <x:v>0</x:v>
      </x:c>
      <x:c r="T69" s="71" t="n">
        <x:f>IF(ISNUMBER(O69),IF(R69&lt;=$B$15,O69,0),"미산정")</x:f>
        <x:v>0</x:v>
      </x:c>
      <x:c r="U69" s="71" t="n">
        <x:f>IF(ISNUMBER(O69),MIN(T69,ROUND(O69*S69,0)),"미산정")</x:f>
        <x:v>0</x:v>
      </x:c>
      <x:c r="V69" s="71" t="n">
        <x:f>IF(ISNUMBER(O69),T69-U69,"미산정")</x:f>
        <x:v>0</x:v>
      </x:c>
      <x:c r="W69" s="71" t="n">
        <x:f>IF(ISNUMBER(O69),O69-T69,"미산정")</x:f>
        <x:v>588</x:v>
      </x:c>
      <x:c r="X69" s="71" t="n">
        <x:f>IF(ISNUMBER(O69),O69-U69,"미산정")</x:f>
        <x:v>588</x:v>
      </x:c>
    </x:row>
    <x:row r="70" ht="44" customHeight="1">
      <x:c r="A70" s="25" t="n">
        <x:v>60</x:v>
      </x:c>
      <x:c r="B70" s="25" t="str">
        <x:v>112동</x:v>
      </x:c>
      <x:c r="C70" s="6" t="str">
        <x:v>시스템동바리 조립</x:v>
      </x:c>
      <x:c r="D70" s="6" t="str">
        <x:v>BJ-600</x:v>
      </x:c>
      <x:c r="E70" s="6" t="str">
        <x:v>베이스 잭</x:v>
      </x:c>
      <x:c r="F70" s="6" t="str">
        <x:v>Ø45 / L=600mm</x:v>
      </x:c>
      <x:c r="G70" s="6" t="str">
        <x:v>개</x:v>
      </x:c>
      <x:c r="H70" s="18" t="n">
        <x:v>588</x:v>
      </x:c>
      <x:c r="I70" s="27" t="n">
        <x:v>30</x:v>
      </x:c>
      <x:c r="J70" s="27" t="n">
        <x:v>32</x:v>
      </x:c>
      <x:c r="K70" s="27" t="n">
        <x:v>29</x:v>
      </x:c>
      <x:c r="L70" s="6" t="str">
        <x:v>시스템서포트</x:v>
      </x:c>
      <x:c r="M70" s="6" t="str">
        <x:v>동바리 하부자키</x:v>
      </x:c>
      <x:c r="N70" s="25" t="str">
        <x:v>반영</x:v>
      </x:c>
      <x:c r="O70" s="30" t="n">
        <x:f>IF(AND(N70="반영",ISNUMBER(H70)),H70,"미산정")</x:f>
        <x:v>588</x:v>
      </x:c>
      <x:c r="P70" s="25" t="str">
        <x:v>해당 없음</x:v>
      </x:c>
      <x:c r="Q70" s="6" t="str">
        <x:v>베이스 잭 → 등록된 동바리 하부자키. 원자료 치수 별도 보존</x:v>
      </x:c>
      <x:c r="R70" s="65" t="n">
        <x:f>K70</x:f>
        <x:v>29</x:v>
      </x:c>
      <x:c r="S70" s="68" t="n">
        <x:f>MAX(0,MIN(1,($B$15-I70+1)/(J70-I70+1)))</x:f>
        <x:v>0</x:v>
      </x:c>
      <x:c r="T70" s="72" t="n">
        <x:f>IF(ISNUMBER(O70),IF(R70&lt;=$B$15,O70,0),"미산정")</x:f>
        <x:v>0</x:v>
      </x:c>
      <x:c r="U70" s="72" t="n">
        <x:f>IF(ISNUMBER(O70),MIN(T70,ROUND(O70*S70,0)),"미산정")</x:f>
        <x:v>0</x:v>
      </x:c>
      <x:c r="V70" s="72" t="n">
        <x:f>IF(ISNUMBER(O70),T70-U70,"미산정")</x:f>
        <x:v>0</x:v>
      </x:c>
      <x:c r="W70" s="72" t="n">
        <x:f>IF(ISNUMBER(O70),O70-T70,"미산정")</x:f>
        <x:v>588</x:v>
      </x:c>
      <x:c r="X70" s="72" t="n">
        <x:f>IF(ISNUMBER(O70),O70-U70,"미산정")</x:f>
        <x:v>588</x:v>
      </x:c>
    </x:row>
    <x:row r="71" ht="44" customHeight="1">
      <x:c r="A71" s="24" t="n">
        <x:v>61</x:v>
      </x:c>
      <x:c r="B71" s="24" t="str">
        <x:v>112동</x:v>
      </x:c>
      <x:c r="C71" s="13" t="str">
        <x:v>시스템동바리 조립</x:v>
      </x:c>
      <x:c r="D71" s="13" t="str">
        <x:v>CP-120</x:v>
      </x:c>
      <x:c r="E71" s="13" t="str">
        <x:v>연결 카프링</x:v>
      </x:c>
      <x:c r="F71" s="13" t="str">
        <x:v>Ø60.5 / L=120mm</x:v>
      </x:c>
      <x:c r="G71" s="13" t="str">
        <x:v>개</x:v>
      </x:c>
      <x:c r="H71" s="17" t="n">
        <x:v>1176</x:v>
      </x:c>
      <x:c r="I71" s="26" t="n">
        <x:v>30</x:v>
      </x:c>
      <x:c r="J71" s="26" t="n">
        <x:v>32</x:v>
      </x:c>
      <x:c r="K71" s="26" t="n">
        <x:v>29</x:v>
      </x:c>
      <x:c r="L71" s="13" t="str">
        <x:v>시스템서포트</x:v>
      </x:c>
      <x:c r="M71" s="13" t="str">
        <x:v>카플링(소켓)</x:v>
      </x:c>
      <x:c r="N71" s="24" t="str">
        <x:v>반영</x:v>
      </x:c>
      <x:c r="O71" s="29" t="n">
        <x:f>IF(AND(N71="반영",ISNUMBER(H71)),H71,"미산정")</x:f>
        <x:v>1176</x:v>
      </x:c>
      <x:c r="P71" s="24" t="str">
        <x:v>해당 없음</x:v>
      </x:c>
      <x:c r="Q71" s="13" t="str">
        <x:v>연결 카플링 → 등록된 카플링(소켓). 원자료 치수 별도 보존</x:v>
      </x:c>
      <x:c r="R71" s="65" t="n">
        <x:f>K71</x:f>
        <x:v>29</x:v>
      </x:c>
      <x:c r="S71" s="67" t="n">
        <x:f>MAX(0,MIN(1,($B$15-I71+1)/(J71-I71+1)))</x:f>
        <x:v>0</x:v>
      </x:c>
      <x:c r="T71" s="71" t="n">
        <x:f>IF(ISNUMBER(O71),IF(R71&lt;=$B$15,O71,0),"미산정")</x:f>
        <x:v>0</x:v>
      </x:c>
      <x:c r="U71" s="71" t="n">
        <x:f>IF(ISNUMBER(O71),MIN(T71,ROUND(O71*S71,0)),"미산정")</x:f>
        <x:v>0</x:v>
      </x:c>
      <x:c r="V71" s="71" t="n">
        <x:f>IF(ISNUMBER(O71),T71-U71,"미산정")</x:f>
        <x:v>0</x:v>
      </x:c>
      <x:c r="W71" s="71" t="n">
        <x:f>IF(ISNUMBER(O71),O71-T71,"미산정")</x:f>
        <x:v>1176</x:v>
      </x:c>
      <x:c r="X71" s="71" t="n">
        <x:f>IF(ISNUMBER(O71),O71-U71,"미산정")</x:f>
        <x:v>1176</x:v>
      </x:c>
    </x:row>
    <x:row r="72" ht="44" customHeight="1">
      <x:c r="A72" s="25" t="n">
        <x:v>62</x:v>
      </x:c>
      <x:c r="B72" s="25" t="str">
        <x:v>112동</x:v>
      </x:c>
      <x:c r="C72" s="6" t="str">
        <x:v>보·슬래브 거푸집</x:v>
      </x:c>
      <x:c r="D72" s="6" t="str">
        <x:v>PW-1224</x:v>
      </x:c>
      <x:c r="E72" s="6" t="str">
        <x:v>코팅합판</x:v>
      </x:c>
      <x:c r="F72" s="6" t="str">
        <x:v>1,220×2,440×12mm</x:v>
      </x:c>
      <x:c r="G72" s="6" t="str">
        <x:v>장</x:v>
      </x:c>
      <x:c r="H72" s="18" t="n">
        <x:v>385</x:v>
      </x:c>
      <x:c r="I72" s="27" t="n">
        <x:v>33</x:v>
      </x:c>
      <x:c r="J72" s="27" t="n">
        <x:v>36</x:v>
      </x:c>
      <x:c r="K72" s="27" t="n">
        <x:v>32</x:v>
      </x:c>
      <x:c r="L72" s="6" t="str">
        <x:v>미등록</x:v>
      </x:c>
      <x:c r="M72" s="6" t="str">
        <x:v>미산정</x:v>
      </x:c>
      <x:c r="N72" s="28" t="str">
        <x:v>미산정</x:v>
      </x:c>
      <x:c r="O72" s="31" t="str">
        <x:f>IF(AND(N72="반영",ISNUMBER(H72)),H72,"미산정")</x:f>
        <x:v>미산정</x:v>
      </x:c>
      <x:c r="P72" s="28" t="str">
        <x:v>해당 없음</x:v>
      </x:c>
      <x:c r="Q72" s="14" t="str">
        <x:v>현재 웹 등록 품목에 없음. 다른 품목으로 대체하지 않음</x:v>
      </x:c>
      <x:c r="R72" s="65" t="n">
        <x:f>K72</x:f>
        <x:v>32</x:v>
      </x:c>
      <x:c r="S72" s="68" t="n">
        <x:f>MAX(0,MIN(1,($B$15-I72+1)/(J72-I72+1)))</x:f>
        <x:v>0</x:v>
      </x:c>
      <x:c r="T72" s="72" t="str">
        <x:f>IF(ISNUMBER(O72),IF(R72&lt;=$B$15,O72,0),"미산정")</x:f>
        <x:v>미산정</x:v>
      </x:c>
      <x:c r="U72" s="72" t="str">
        <x:f>IF(ISNUMBER(O72),MIN(T72,ROUND(O72*S72,0)),"미산정")</x:f>
        <x:v>미산정</x:v>
      </x:c>
      <x:c r="V72" s="72" t="str">
        <x:f>IF(ISNUMBER(O72),T72-U72,"미산정")</x:f>
        <x:v>미산정</x:v>
      </x:c>
      <x:c r="W72" s="72" t="str">
        <x:f>IF(ISNUMBER(O72),O72-T72,"미산정")</x:f>
        <x:v>미산정</x:v>
      </x:c>
      <x:c r="X72" s="72" t="str">
        <x:f>IF(ISNUMBER(O72),O72-U72,"미산정")</x:f>
        <x:v>미산정</x:v>
      </x:c>
    </x:row>
    <x:row r="73" ht="44" customHeight="1">
      <x:c r="A73" s="24" t="n">
        <x:v>63</x:v>
      </x:c>
      <x:c r="B73" s="24" t="str">
        <x:v>112동</x:v>
      </x:c>
      <x:c r="C73" s="13" t="str">
        <x:v>보·슬래브 거푸집</x:v>
      </x:c>
      <x:c r="D73" s="13" t="str">
        <x:v>JO-4000</x:v>
      </x:c>
      <x:c r="E73" s="13" t="str">
        <x:v>각관 장선</x:v>
      </x:c>
      <x:c r="F73" s="13" t="str">
        <x:v>50×50×2.3mm / L=4,000mm</x:v>
      </x:c>
      <x:c r="G73" s="13" t="str">
        <x:v>본</x:v>
      </x:c>
      <x:c r="H73" s="17" t="n">
        <x:v>716</x:v>
      </x:c>
      <x:c r="I73" s="26" t="n">
        <x:v>33</x:v>
      </x:c>
      <x:c r="J73" s="26" t="n">
        <x:v>36</x:v>
      </x:c>
      <x:c r="K73" s="26" t="n">
        <x:v>32</x:v>
      </x:c>
      <x:c r="L73" s="13" t="str">
        <x:v>미등록</x:v>
      </x:c>
      <x:c r="M73" s="13" t="str">
        <x:v>미산정</x:v>
      </x:c>
      <x:c r="N73" s="28" t="str">
        <x:v>미산정</x:v>
      </x:c>
      <x:c r="O73" s="31" t="str">
        <x:f>IF(AND(N73="반영",ISNUMBER(H73)),H73,"미산정")</x:f>
        <x:v>미산정</x:v>
      </x:c>
      <x:c r="P73" s="28" t="str">
        <x:v>해당 없음</x:v>
      </x:c>
      <x:c r="Q73" s="14" t="str">
        <x:v>현재 웹 등록 품목에 없음. 다른 품목으로 대체하지 않음</x:v>
      </x:c>
      <x:c r="R73" s="65" t="n">
        <x:f>K73</x:f>
        <x:v>32</x:v>
      </x:c>
      <x:c r="S73" s="67" t="n">
        <x:f>MAX(0,MIN(1,($B$15-I73+1)/(J73-I73+1)))</x:f>
        <x:v>0</x:v>
      </x:c>
      <x:c r="T73" s="71" t="str">
        <x:f>IF(ISNUMBER(O73),IF(R73&lt;=$B$15,O73,0),"미산정")</x:f>
        <x:v>미산정</x:v>
      </x:c>
      <x:c r="U73" s="71" t="str">
        <x:f>IF(ISNUMBER(O73),MIN(T73,ROUND(O73*S73,0)),"미산정")</x:f>
        <x:v>미산정</x:v>
      </x:c>
      <x:c r="V73" s="71" t="str">
        <x:f>IF(ISNUMBER(O73),T73-U73,"미산정")</x:f>
        <x:v>미산정</x:v>
      </x:c>
      <x:c r="W73" s="71" t="str">
        <x:f>IF(ISNUMBER(O73),O73-T73,"미산정")</x:f>
        <x:v>미산정</x:v>
      </x:c>
      <x:c r="X73" s="71" t="str">
        <x:f>IF(ISNUMBER(O73),O73-U73,"미산정")</x:f>
        <x:v>미산정</x:v>
      </x:c>
    </x:row>
    <x:row r="74" ht="44" customHeight="1">
      <x:c r="A74" s="25" t="n">
        <x:v>64</x:v>
      </x:c>
      <x:c r="B74" s="25" t="str">
        <x:v>112동</x:v>
      </x:c>
      <x:c r="C74" s="6" t="str">
        <x:v>보·슬래브 거푸집</x:v>
      </x:c>
      <x:c r="D74" s="6" t="str">
        <x:v>BE-3000</x:v>
      </x:c>
      <x:c r="E74" s="6" t="str">
        <x:v>시스템 멍에</x:v>
      </x:c>
      <x:c r="F74" s="6" t="str">
        <x:v>선정 제품 길이 3,000mm</x:v>
      </x:c>
      <x:c r="G74" s="6" t="str">
        <x:v>본</x:v>
      </x:c>
      <x:c r="H74" s="18" t="n">
        <x:v>247</x:v>
      </x:c>
      <x:c r="I74" s="27" t="n">
        <x:v>33</x:v>
      </x:c>
      <x:c r="J74" s="27" t="n">
        <x:v>36</x:v>
      </x:c>
      <x:c r="K74" s="27" t="n">
        <x:v>32</x:v>
      </x:c>
      <x:c r="L74" s="6" t="str">
        <x:v>미등록</x:v>
      </x:c>
      <x:c r="M74" s="6" t="str">
        <x:v>미산정</x:v>
      </x:c>
      <x:c r="N74" s="28" t="str">
        <x:v>미산정</x:v>
      </x:c>
      <x:c r="O74" s="31" t="str">
        <x:f>IF(AND(N74="반영",ISNUMBER(H74)),H74,"미산정")</x:f>
        <x:v>미산정</x:v>
      </x:c>
      <x:c r="P74" s="28" t="str">
        <x:v>해당 없음</x:v>
      </x:c>
      <x:c r="Q74" s="14" t="str">
        <x:v>현재 웹 등록 품목에 없음. 다른 품목으로 대체하지 않음</x:v>
      </x:c>
      <x:c r="R74" s="65" t="n">
        <x:f>K74</x:f>
        <x:v>32</x:v>
      </x:c>
      <x:c r="S74" s="68" t="n">
        <x:f>MAX(0,MIN(1,($B$15-I74+1)/(J74-I74+1)))</x:f>
        <x:v>0</x:v>
      </x:c>
      <x:c r="T74" s="72" t="str">
        <x:f>IF(ISNUMBER(O74),IF(R74&lt;=$B$15,O74,0),"미산정")</x:f>
        <x:v>미산정</x:v>
      </x:c>
      <x:c r="U74" s="72" t="str">
        <x:f>IF(ISNUMBER(O74),MIN(T74,ROUND(O74*S74,0)),"미산정")</x:f>
        <x:v>미산정</x:v>
      </x:c>
      <x:c r="V74" s="72" t="str">
        <x:f>IF(ISNUMBER(O74),T74-U74,"미산정")</x:f>
        <x:v>미산정</x:v>
      </x:c>
      <x:c r="W74" s="72" t="str">
        <x:f>IF(ISNUMBER(O74),O74-T74,"미산정")</x:f>
        <x:v>미산정</x:v>
      </x:c>
      <x:c r="X74" s="72" t="str">
        <x:f>IF(ISNUMBER(O74),O74-U74,"미산정")</x:f>
        <x:v>미산정</x:v>
      </x:c>
    </x:row>
    <x:row r="75" ht="44" customHeight="1">
      <x:c r="A75" s="24" t="n">
        <x:v>65</x:v>
      </x:c>
      <x:c r="B75" s="24" t="str">
        <x:v>112동</x:v>
      </x:c>
      <x:c r="C75" s="13" t="str">
        <x:v>보·슬래브 철근배근</x:v>
      </x:c>
      <x:c r="D75" s="13" t="str">
        <x:v>RB-D10</x:v>
      </x:c>
      <x:c r="E75" s="13" t="str">
        <x:v>철근</x:v>
      </x:c>
      <x:c r="F75" s="13" t="str">
        <x:v>SD500 D10 / 부위별 공장 가공</x:v>
      </x:c>
      <x:c r="G75" s="13" t="str">
        <x:v>kg</x:v>
      </x:c>
      <x:c r="H75" s="17" t="n">
        <x:v>3010</x:v>
      </x:c>
      <x:c r="I75" s="26" t="n">
        <x:v>37</x:v>
      </x:c>
      <x:c r="J75" s="26" t="n">
        <x:v>39</x:v>
      </x:c>
      <x:c r="K75" s="26" t="n">
        <x:v>36</x:v>
      </x:c>
      <x:c r="L75" s="13" t="str">
        <x:v>철근</x:v>
      </x:c>
      <x:c r="M75" s="13" t="str">
        <x:v>D10</x:v>
      </x:c>
      <x:c r="N75" s="24" t="str">
        <x:v>반영</x:v>
      </x:c>
      <x:c r="O75" s="29" t="n">
        <x:f>IF(AND(N75="반영",ISNUMBER(H75)),H75,"미산정")</x:f>
        <x:v>3010</x:v>
      </x:c>
      <x:c r="P75" s="24" t="str">
        <x:v>미제공</x:v>
      </x:c>
      <x:c r="Q75" s="13" t="str">
        <x:v>등록 품목·규격과 일치</x:v>
      </x:c>
      <x:c r="R75" s="65" t="n">
        <x:f>K75</x:f>
        <x:v>36</x:v>
      </x:c>
      <x:c r="S75" s="67" t="n">
        <x:f>MAX(0,MIN(1,($B$15-I75+1)/(J75-I75+1)))</x:f>
        <x:v>0</x:v>
      </x:c>
      <x:c r="T75" s="71" t="n">
        <x:f>IF(ISNUMBER(O75),IF(R75&lt;=$B$15,O75,0),"미산정")</x:f>
        <x:v>0</x:v>
      </x:c>
      <x:c r="U75" s="71" t="n">
        <x:f>IF(ISNUMBER(O75),MIN(T75,ROUND(O75*S75,0)),"미산정")</x:f>
        <x:v>0</x:v>
      </x:c>
      <x:c r="V75" s="71" t="n">
        <x:f>IF(ISNUMBER(O75),T75-U75,"미산정")</x:f>
        <x:v>0</x:v>
      </x:c>
      <x:c r="W75" s="71" t="n">
        <x:f>IF(ISNUMBER(O75),O75-T75,"미산정")</x:f>
        <x:v>3010</x:v>
      </x:c>
      <x:c r="X75" s="71" t="n">
        <x:f>IF(ISNUMBER(O75),O75-U75,"미산정")</x:f>
        <x:v>3010</x:v>
      </x:c>
    </x:row>
    <x:row r="76" ht="44" customHeight="1">
      <x:c r="A76" s="25" t="n">
        <x:v>66</x:v>
      </x:c>
      <x:c r="B76" s="25" t="str">
        <x:v>112동</x:v>
      </x:c>
      <x:c r="C76" s="6" t="str">
        <x:v>보·슬래브 철근배근</x:v>
      </x:c>
      <x:c r="D76" s="6" t="str">
        <x:v>RB-D13</x:v>
      </x:c>
      <x:c r="E76" s="6" t="str">
        <x:v>철근</x:v>
      </x:c>
      <x:c r="F76" s="6" t="str">
        <x:v>SD500 D13 / 부위별 공장 가공</x:v>
      </x:c>
      <x:c r="G76" s="6" t="str">
        <x:v>kg</x:v>
      </x:c>
      <x:c r="H76" s="18" t="n">
        <x:v>7510</x:v>
      </x:c>
      <x:c r="I76" s="27" t="n">
        <x:v>37</x:v>
      </x:c>
      <x:c r="J76" s="27" t="n">
        <x:v>39</x:v>
      </x:c>
      <x:c r="K76" s="27" t="n">
        <x:v>36</x:v>
      </x:c>
      <x:c r="L76" s="6" t="str">
        <x:v>철근</x:v>
      </x:c>
      <x:c r="M76" s="6" t="str">
        <x:v>D13</x:v>
      </x:c>
      <x:c r="N76" s="25" t="str">
        <x:v>반영</x:v>
      </x:c>
      <x:c r="O76" s="30" t="n">
        <x:f>IF(AND(N76="반영",ISNUMBER(H76)),H76,"미산정")</x:f>
        <x:v>7510</x:v>
      </x:c>
      <x:c r="P76" s="25" t="str">
        <x:v>미제공</x:v>
      </x:c>
      <x:c r="Q76" s="6" t="str">
        <x:v>등록 품목·규격과 일치</x:v>
      </x:c>
      <x:c r="R76" s="65" t="n">
        <x:f>K76</x:f>
        <x:v>36</x:v>
      </x:c>
      <x:c r="S76" s="68" t="n">
        <x:f>MAX(0,MIN(1,($B$15-I76+1)/(J76-I76+1)))</x:f>
        <x:v>0</x:v>
      </x:c>
      <x:c r="T76" s="72" t="n">
        <x:f>IF(ISNUMBER(O76),IF(R76&lt;=$B$15,O76,0),"미산정")</x:f>
        <x:v>0</x:v>
      </x:c>
      <x:c r="U76" s="72" t="n">
        <x:f>IF(ISNUMBER(O76),MIN(T76,ROUND(O76*S76,0)),"미산정")</x:f>
        <x:v>0</x:v>
      </x:c>
      <x:c r="V76" s="72" t="n">
        <x:f>IF(ISNUMBER(O76),T76-U76,"미산정")</x:f>
        <x:v>0</x:v>
      </x:c>
      <x:c r="W76" s="72" t="n">
        <x:f>IF(ISNUMBER(O76),O76-T76,"미산정")</x:f>
        <x:v>7510</x:v>
      </x:c>
      <x:c r="X76" s="72" t="n">
        <x:f>IF(ISNUMBER(O76),O76-U76,"미산정")</x:f>
        <x:v>7510</x:v>
      </x:c>
    </x:row>
    <x:row r="77" ht="44" customHeight="1">
      <x:c r="A77" s="24" t="n">
        <x:v>67</x:v>
      </x:c>
      <x:c r="B77" s="24" t="str">
        <x:v>112동</x:v>
      </x:c>
      <x:c r="C77" s="13" t="str">
        <x:v>보·슬래브 철근배근</x:v>
      </x:c>
      <x:c r="D77" s="13" t="str">
        <x:v>RB-D16</x:v>
      </x:c>
      <x:c r="E77" s="13" t="str">
        <x:v>철근</x:v>
      </x:c>
      <x:c r="F77" s="13" t="str">
        <x:v>SD500 D16 / 부위별 공장 가공</x:v>
      </x:c>
      <x:c r="G77" s="13" t="str">
        <x:v>kg</x:v>
      </x:c>
      <x:c r="H77" s="17" t="n">
        <x:v>6010</x:v>
      </x:c>
      <x:c r="I77" s="26" t="n">
        <x:v>37</x:v>
      </x:c>
      <x:c r="J77" s="26" t="n">
        <x:v>39</x:v>
      </x:c>
      <x:c r="K77" s="26" t="n">
        <x:v>36</x:v>
      </x:c>
      <x:c r="L77" s="13" t="str">
        <x:v>철근</x:v>
      </x:c>
      <x:c r="M77" s="13" t="str">
        <x:v>D16</x:v>
      </x:c>
      <x:c r="N77" s="24" t="str">
        <x:v>반영</x:v>
      </x:c>
      <x:c r="O77" s="29" t="n">
        <x:f>IF(AND(N77="반영",ISNUMBER(H77)),H77,"미산정")</x:f>
        <x:v>6010</x:v>
      </x:c>
      <x:c r="P77" s="24" t="str">
        <x:v>미제공</x:v>
      </x:c>
      <x:c r="Q77" s="13" t="str">
        <x:v>등록 품목·규격과 일치</x:v>
      </x:c>
      <x:c r="R77" s="65" t="n">
        <x:f>K77</x:f>
        <x:v>36</x:v>
      </x:c>
      <x:c r="S77" s="67" t="n">
        <x:f>MAX(0,MIN(1,($B$15-I77+1)/(J77-I77+1)))</x:f>
        <x:v>0</x:v>
      </x:c>
      <x:c r="T77" s="71" t="n">
        <x:f>IF(ISNUMBER(O77),IF(R77&lt;=$B$15,O77,0),"미산정")</x:f>
        <x:v>0</x:v>
      </x:c>
      <x:c r="U77" s="71" t="n">
        <x:f>IF(ISNUMBER(O77),MIN(T77,ROUND(O77*S77,0)),"미산정")</x:f>
        <x:v>0</x:v>
      </x:c>
      <x:c r="V77" s="71" t="n">
        <x:f>IF(ISNUMBER(O77),T77-U77,"미산정")</x:f>
        <x:v>0</x:v>
      </x:c>
      <x:c r="W77" s="71" t="n">
        <x:f>IF(ISNUMBER(O77),O77-T77,"미산정")</x:f>
        <x:v>6010</x:v>
      </x:c>
      <x:c r="X77" s="71" t="n">
        <x:f>IF(ISNUMBER(O77),O77-U77,"미산정")</x:f>
        <x:v>6010</x:v>
      </x:c>
    </x:row>
    <x:row r="78" ht="44" customHeight="1">
      <x:c r="A78" s="25" t="n">
        <x:v>68</x:v>
      </x:c>
      <x:c r="B78" s="25" t="str">
        <x:v>112동</x:v>
      </x:c>
      <x:c r="C78" s="6" t="str">
        <x:v>보·슬래브 철근배근</x:v>
      </x:c>
      <x:c r="D78" s="6" t="str">
        <x:v>RB-D19</x:v>
      </x:c>
      <x:c r="E78" s="6" t="str">
        <x:v>철근</x:v>
      </x:c>
      <x:c r="F78" s="6" t="str">
        <x:v>SD500 D19 / 부위별 공장 가공</x:v>
      </x:c>
      <x:c r="G78" s="6" t="str">
        <x:v>kg</x:v>
      </x:c>
      <x:c r="H78" s="18" t="n">
        <x:v>6010</x:v>
      </x:c>
      <x:c r="I78" s="27" t="n">
        <x:v>37</x:v>
      </x:c>
      <x:c r="J78" s="27" t="n">
        <x:v>39</x:v>
      </x:c>
      <x:c r="K78" s="27" t="n">
        <x:v>36</x:v>
      </x:c>
      <x:c r="L78" s="6" t="str">
        <x:v>철근</x:v>
      </x:c>
      <x:c r="M78" s="6" t="str">
        <x:v>D19</x:v>
      </x:c>
      <x:c r="N78" s="25" t="str">
        <x:v>반영</x:v>
      </x:c>
      <x:c r="O78" s="30" t="n">
        <x:f>IF(AND(N78="반영",ISNUMBER(H78)),H78,"미산정")</x:f>
        <x:v>6010</x:v>
      </x:c>
      <x:c r="P78" s="25" t="str">
        <x:v>미제공</x:v>
      </x:c>
      <x:c r="Q78" s="6" t="str">
        <x:v>등록 품목·규격과 일치</x:v>
      </x:c>
      <x:c r="R78" s="65" t="n">
        <x:f>K78</x:f>
        <x:v>36</x:v>
      </x:c>
      <x:c r="S78" s="68" t="n">
        <x:f>MAX(0,MIN(1,($B$15-I78+1)/(J78-I78+1)))</x:f>
        <x:v>0</x:v>
      </x:c>
      <x:c r="T78" s="72" t="n">
        <x:f>IF(ISNUMBER(O78),IF(R78&lt;=$B$15,O78,0),"미산정")</x:f>
        <x:v>0</x:v>
      </x:c>
      <x:c r="U78" s="72" t="n">
        <x:f>IF(ISNUMBER(O78),MIN(T78,ROUND(O78*S78,0)),"미산정")</x:f>
        <x:v>0</x:v>
      </x:c>
      <x:c r="V78" s="72" t="n">
        <x:f>IF(ISNUMBER(O78),T78-U78,"미산정")</x:f>
        <x:v>0</x:v>
      </x:c>
      <x:c r="W78" s="72" t="n">
        <x:f>IF(ISNUMBER(O78),O78-T78,"미산정")</x:f>
        <x:v>6010</x:v>
      </x:c>
      <x:c r="X78" s="72" t="n">
        <x:f>IF(ISNUMBER(O78),O78-U78,"미산정")</x:f>
        <x:v>6010</x:v>
      </x:c>
    </x:row>
    <x:row r="79" ht="44" customHeight="1">
      <x:c r="A79" s="24" t="n">
        <x:v>69</x:v>
      </x:c>
      <x:c r="B79" s="24" t="str">
        <x:v>112동</x:v>
      </x:c>
      <x:c r="C79" s="13" t="str">
        <x:v>보·슬래브 철근배근</x:v>
      </x:c>
      <x:c r="D79" s="13" t="str">
        <x:v>RB-D22</x:v>
      </x:c>
      <x:c r="E79" s="13" t="str">
        <x:v>철근</x:v>
      </x:c>
      <x:c r="F79" s="13" t="str">
        <x:v>SD500 D22 / 부위별 공장 가공</x:v>
      </x:c>
      <x:c r="G79" s="13" t="str">
        <x:v>kg</x:v>
      </x:c>
      <x:c r="H79" s="17" t="n">
        <x:v>4500</x:v>
      </x:c>
      <x:c r="I79" s="26" t="n">
        <x:v>37</x:v>
      </x:c>
      <x:c r="J79" s="26" t="n">
        <x:v>39</x:v>
      </x:c>
      <x:c r="K79" s="26" t="n">
        <x:v>36</x:v>
      </x:c>
      <x:c r="L79" s="13" t="str">
        <x:v>철근</x:v>
      </x:c>
      <x:c r="M79" s="13" t="str">
        <x:v>D22</x:v>
      </x:c>
      <x:c r="N79" s="24" t="str">
        <x:v>반영</x:v>
      </x:c>
      <x:c r="O79" s="29" t="n">
        <x:f>IF(AND(N79="반영",ISNUMBER(H79)),H79,"미산정")</x:f>
        <x:v>4500</x:v>
      </x:c>
      <x:c r="P79" s="24" t="str">
        <x:v>미제공</x:v>
      </x:c>
      <x:c r="Q79" s="13" t="str">
        <x:v>등록 품목·규격과 일치</x:v>
      </x:c>
      <x:c r="R79" s="65" t="n">
        <x:f>K79</x:f>
        <x:v>36</x:v>
      </x:c>
      <x:c r="S79" s="67" t="n">
        <x:f>MAX(0,MIN(1,($B$15-I79+1)/(J79-I79+1)))</x:f>
        <x:v>0</x:v>
      </x:c>
      <x:c r="T79" s="71" t="n">
        <x:f>IF(ISNUMBER(O79),IF(R79&lt;=$B$15,O79,0),"미산정")</x:f>
        <x:v>0</x:v>
      </x:c>
      <x:c r="U79" s="71" t="n">
        <x:f>IF(ISNUMBER(O79),MIN(T79,ROUND(O79*S79,0)),"미산정")</x:f>
        <x:v>0</x:v>
      </x:c>
      <x:c r="V79" s="71" t="n">
        <x:f>IF(ISNUMBER(O79),T79-U79,"미산정")</x:f>
        <x:v>0</x:v>
      </x:c>
      <x:c r="W79" s="71" t="n">
        <x:f>IF(ISNUMBER(O79),O79-T79,"미산정")</x:f>
        <x:v>4500</x:v>
      </x:c>
      <x:c r="X79" s="71" t="n">
        <x:f>IF(ISNUMBER(O79),O79-U79,"미산정")</x:f>
        <x:v>4500</x:v>
      </x:c>
    </x:row>
    <x:row r="80" ht="44" customHeight="1">
      <x:c r="A80" s="25" t="n">
        <x:v>70</x:v>
      </x:c>
      <x:c r="B80" s="25" t="str">
        <x:v>112동</x:v>
      </x:c>
      <x:c r="C80" s="6" t="str">
        <x:v>보·슬래브 철근배근</x:v>
      </x:c>
      <x:c r="D80" s="6" t="str">
        <x:v>RB-D25</x:v>
      </x:c>
      <x:c r="E80" s="6" t="str">
        <x:v>철근</x:v>
      </x:c>
      <x:c r="F80" s="6" t="str">
        <x:v>SD500 D25 / 부위별 공장 가공</x:v>
      </x:c>
      <x:c r="G80" s="6" t="str">
        <x:v>kg</x:v>
      </x:c>
      <x:c r="H80" s="18" t="n">
        <x:v>3010</x:v>
      </x:c>
      <x:c r="I80" s="27" t="n">
        <x:v>37</x:v>
      </x:c>
      <x:c r="J80" s="27" t="n">
        <x:v>39</x:v>
      </x:c>
      <x:c r="K80" s="27" t="n">
        <x:v>36</x:v>
      </x:c>
      <x:c r="L80" s="6" t="str">
        <x:v>철근</x:v>
      </x:c>
      <x:c r="M80" s="6" t="str">
        <x:v>D25</x:v>
      </x:c>
      <x:c r="N80" s="25" t="str">
        <x:v>반영</x:v>
      </x:c>
      <x:c r="O80" s="30" t="n">
        <x:f>IF(AND(N80="반영",ISNUMBER(H80)),H80,"미산정")</x:f>
        <x:v>3010</x:v>
      </x:c>
      <x:c r="P80" s="25" t="str">
        <x:v>미제공</x:v>
      </x:c>
      <x:c r="Q80" s="6" t="str">
        <x:v>등록 품목·규격과 일치</x:v>
      </x:c>
      <x:c r="R80" s="65" t="n">
        <x:f>K80</x:f>
        <x:v>36</x:v>
      </x:c>
      <x:c r="S80" s="68" t="n">
        <x:f>MAX(0,MIN(1,($B$15-I80+1)/(J80-I80+1)))</x:f>
        <x:v>0</x:v>
      </x:c>
      <x:c r="T80" s="72" t="n">
        <x:f>IF(ISNUMBER(O80),IF(R80&lt;=$B$15,O80,0),"미산정")</x:f>
        <x:v>0</x:v>
      </x:c>
      <x:c r="U80" s="72" t="n">
        <x:f>IF(ISNUMBER(O80),MIN(T80,ROUND(O80*S80,0)),"미산정")</x:f>
        <x:v>0</x:v>
      </x:c>
      <x:c r="V80" s="72" t="n">
        <x:f>IF(ISNUMBER(O80),T80-U80,"미산정")</x:f>
        <x:v>0</x:v>
      </x:c>
      <x:c r="W80" s="72" t="n">
        <x:f>IF(ISNUMBER(O80),O80-T80,"미산정")</x:f>
        <x:v>3010</x:v>
      </x:c>
      <x:c r="X80" s="72" t="n">
        <x:f>IF(ISNUMBER(O80),O80-U80,"미산정")</x:f>
        <x:v>3010</x:v>
      </x:c>
    </x:row>
    <x:row r="81" ht="44" customHeight="1">
      <x:c r="A81" s="24" t="n">
        <x:v>71</x:v>
      </x:c>
      <x:c r="B81" s="24" t="str">
        <x:v>104동</x:v>
      </x:c>
      <x:c r="C81" s="13" t="str">
        <x:v>벽체·기둥 철근배근</x:v>
      </x:c>
      <x:c r="D81" s="13" t="str">
        <x:v>RB-D10</x:v>
      </x:c>
      <x:c r="E81" s="13" t="str">
        <x:v>철근</x:v>
      </x:c>
      <x:c r="F81" s="13" t="str">
        <x:v>SD500 D10 / 부위별 공장 가공</x:v>
      </x:c>
      <x:c r="G81" s="13" t="str">
        <x:v>kg</x:v>
      </x:c>
      <x:c r="H81" s="17" t="n">
        <x:v>1630</x:v>
      </x:c>
      <x:c r="I81" s="26" t="n">
        <x:v>3</x:v>
      </x:c>
      <x:c r="J81" s="26" t="n">
        <x:v>7</x:v>
      </x:c>
      <x:c r="K81" s="26" t="n">
        <x:v>2</x:v>
      </x:c>
      <x:c r="L81" s="13" t="str">
        <x:v>철근</x:v>
      </x:c>
      <x:c r="M81" s="13" t="str">
        <x:v>D10</x:v>
      </x:c>
      <x:c r="N81" s="24" t="str">
        <x:v>반영</x:v>
      </x:c>
      <x:c r="O81" s="29" t="n">
        <x:f>IF(AND(N81="반영",ISNUMBER(H81)),H81,"미산정")</x:f>
        <x:v>1630</x:v>
      </x:c>
      <x:c r="P81" s="24" t="str">
        <x:v>미제공</x:v>
      </x:c>
      <x:c r="Q81" s="13" t="str">
        <x:v>등록 품목·규격과 일치</x:v>
      </x:c>
      <x:c r="R81" s="65" t="n">
        <x:f>K81</x:f>
        <x:v>2</x:v>
      </x:c>
      <x:c r="S81" s="67" t="n">
        <x:f>MAX(0,MIN(1,($B$15-I81+1)/(J81-I81+1)))</x:f>
        <x:v>1</x:v>
      </x:c>
      <x:c r="T81" s="71" t="n">
        <x:f>IF(ISNUMBER(O81),IF(R81&lt;=$B$15,O81,0),"미산정")</x:f>
        <x:v>1630</x:v>
      </x:c>
      <x:c r="U81" s="71" t="n">
        <x:f>IF(ISNUMBER(O81),MIN(T81,ROUND(O81*S81,0)),"미산정")</x:f>
        <x:v>1630</x:v>
      </x:c>
      <x:c r="V81" s="71" t="n">
        <x:f>IF(ISNUMBER(O81),T81-U81,"미산정")</x:f>
        <x:v>0</x:v>
      </x:c>
      <x:c r="W81" s="71" t="n">
        <x:f>IF(ISNUMBER(O81),O81-T81,"미산정")</x:f>
        <x:v>0</x:v>
      </x:c>
      <x:c r="X81" s="71" t="n">
        <x:f>IF(ISNUMBER(O81),O81-U81,"미산정")</x:f>
        <x:v>0</x:v>
      </x:c>
    </x:row>
    <x:row r="82" ht="44" customHeight="1">
      <x:c r="A82" s="25" t="n">
        <x:v>72</x:v>
      </x:c>
      <x:c r="B82" s="25" t="str">
        <x:v>104동</x:v>
      </x:c>
      <x:c r="C82" s="6" t="str">
        <x:v>벽체·기둥 철근배근</x:v>
      </x:c>
      <x:c r="D82" s="6" t="str">
        <x:v>RB-D13</x:v>
      </x:c>
      <x:c r="E82" s="6" t="str">
        <x:v>철근</x:v>
      </x:c>
      <x:c r="F82" s="6" t="str">
        <x:v>SD500 D13 / 부위별 공장 가공</x:v>
      </x:c>
      <x:c r="G82" s="6" t="str">
        <x:v>kg</x:v>
      </x:c>
      <x:c r="H82" s="18" t="n">
        <x:v>2440</x:v>
      </x:c>
      <x:c r="I82" s="27" t="n">
        <x:v>3</x:v>
      </x:c>
      <x:c r="J82" s="27" t="n">
        <x:v>7</x:v>
      </x:c>
      <x:c r="K82" s="27" t="n">
        <x:v>2</x:v>
      </x:c>
      <x:c r="L82" s="6" t="str">
        <x:v>철근</x:v>
      </x:c>
      <x:c r="M82" s="6" t="str">
        <x:v>D13</x:v>
      </x:c>
      <x:c r="N82" s="25" t="str">
        <x:v>반영</x:v>
      </x:c>
      <x:c r="O82" s="30" t="n">
        <x:f>IF(AND(N82="반영",ISNUMBER(H82)),H82,"미산정")</x:f>
        <x:v>2440</x:v>
      </x:c>
      <x:c r="P82" s="25" t="str">
        <x:v>미제공</x:v>
      </x:c>
      <x:c r="Q82" s="6" t="str">
        <x:v>등록 품목·규격과 일치</x:v>
      </x:c>
      <x:c r="R82" s="65" t="n">
        <x:f>K82</x:f>
        <x:v>2</x:v>
      </x:c>
      <x:c r="S82" s="68" t="n">
        <x:f>MAX(0,MIN(1,($B$15-I82+1)/(J82-I82+1)))</x:f>
        <x:v>1</x:v>
      </x:c>
      <x:c r="T82" s="72" t="n">
        <x:f>IF(ISNUMBER(O82),IF(R82&lt;=$B$15,O82,0),"미산정")</x:f>
        <x:v>2440</x:v>
      </x:c>
      <x:c r="U82" s="72" t="n">
        <x:f>IF(ISNUMBER(O82),MIN(T82,ROUND(O82*S82,0)),"미산정")</x:f>
        <x:v>2440</x:v>
      </x:c>
      <x:c r="V82" s="72" t="n">
        <x:f>IF(ISNUMBER(O82),T82-U82,"미산정")</x:f>
        <x:v>0</x:v>
      </x:c>
      <x:c r="W82" s="72" t="n">
        <x:f>IF(ISNUMBER(O82),O82-T82,"미산정")</x:f>
        <x:v>0</x:v>
      </x:c>
      <x:c r="X82" s="72" t="n">
        <x:f>IF(ISNUMBER(O82),O82-U82,"미산정")</x:f>
        <x:v>0</x:v>
      </x:c>
    </x:row>
    <x:row r="83" ht="44" customHeight="1">
      <x:c r="A83" s="24" t="n">
        <x:v>73</x:v>
      </x:c>
      <x:c r="B83" s="24" t="str">
        <x:v>104동</x:v>
      </x:c>
      <x:c r="C83" s="13" t="str">
        <x:v>벽체·기둥 철근배근</x:v>
      </x:c>
      <x:c r="D83" s="13" t="str">
        <x:v>RB-D16</x:v>
      </x:c>
      <x:c r="E83" s="13" t="str">
        <x:v>철근</x:v>
      </x:c>
      <x:c r="F83" s="13" t="str">
        <x:v>SD500 D16 / 부위별 공장 가공</x:v>
      </x:c>
      <x:c r="G83" s="13" t="str">
        <x:v>kg</x:v>
      </x:c>
      <x:c r="H83" s="17" t="n">
        <x:v>3040</x:v>
      </x:c>
      <x:c r="I83" s="26" t="n">
        <x:v>3</x:v>
      </x:c>
      <x:c r="J83" s="26" t="n">
        <x:v>7</x:v>
      </x:c>
      <x:c r="K83" s="26" t="n">
        <x:v>2</x:v>
      </x:c>
      <x:c r="L83" s="13" t="str">
        <x:v>철근</x:v>
      </x:c>
      <x:c r="M83" s="13" t="str">
        <x:v>D16</x:v>
      </x:c>
      <x:c r="N83" s="24" t="str">
        <x:v>반영</x:v>
      </x:c>
      <x:c r="O83" s="29" t="n">
        <x:f>IF(AND(N83="반영",ISNUMBER(H83)),H83,"미산정")</x:f>
        <x:v>3040</x:v>
      </x:c>
      <x:c r="P83" s="24" t="str">
        <x:v>미제공</x:v>
      </x:c>
      <x:c r="Q83" s="13" t="str">
        <x:v>등록 품목·규격과 일치</x:v>
      </x:c>
      <x:c r="R83" s="65" t="n">
        <x:f>K83</x:f>
        <x:v>2</x:v>
      </x:c>
      <x:c r="S83" s="67" t="n">
        <x:f>MAX(0,MIN(1,($B$15-I83+1)/(J83-I83+1)))</x:f>
        <x:v>1</x:v>
      </x:c>
      <x:c r="T83" s="71" t="n">
        <x:f>IF(ISNUMBER(O83),IF(R83&lt;=$B$15,O83,0),"미산정")</x:f>
        <x:v>3040</x:v>
      </x:c>
      <x:c r="U83" s="71" t="n">
        <x:f>IF(ISNUMBER(O83),MIN(T83,ROUND(O83*S83,0)),"미산정")</x:f>
        <x:v>3040</x:v>
      </x:c>
      <x:c r="V83" s="71" t="n">
        <x:f>IF(ISNUMBER(O83),T83-U83,"미산정")</x:f>
        <x:v>0</x:v>
      </x:c>
      <x:c r="W83" s="71" t="n">
        <x:f>IF(ISNUMBER(O83),O83-T83,"미산정")</x:f>
        <x:v>0</x:v>
      </x:c>
      <x:c r="X83" s="71" t="n">
        <x:f>IF(ISNUMBER(O83),O83-U83,"미산정")</x:f>
        <x:v>0</x:v>
      </x:c>
    </x:row>
    <x:row r="84" ht="44" customHeight="1">
      <x:c r="A84" s="25" t="n">
        <x:v>74</x:v>
      </x:c>
      <x:c r="B84" s="25" t="str">
        <x:v>104동</x:v>
      </x:c>
      <x:c r="C84" s="6" t="str">
        <x:v>벽체·기둥 철근배근</x:v>
      </x:c>
      <x:c r="D84" s="6" t="str">
        <x:v>RB-D19</x:v>
      </x:c>
      <x:c r="E84" s="6" t="str">
        <x:v>철근</x:v>
      </x:c>
      <x:c r="F84" s="6" t="str">
        <x:v>SD500 D19 / 부위별 공장 가공</x:v>
      </x:c>
      <x:c r="G84" s="6" t="str">
        <x:v>kg</x:v>
      </x:c>
      <x:c r="H84" s="18" t="n">
        <x:v>3040</x:v>
      </x:c>
      <x:c r="I84" s="27" t="n">
        <x:v>3</x:v>
      </x:c>
      <x:c r="J84" s="27" t="n">
        <x:v>7</x:v>
      </x:c>
      <x:c r="K84" s="27" t="n">
        <x:v>2</x:v>
      </x:c>
      <x:c r="L84" s="6" t="str">
        <x:v>철근</x:v>
      </x:c>
      <x:c r="M84" s="6" t="str">
        <x:v>D19</x:v>
      </x:c>
      <x:c r="N84" s="25" t="str">
        <x:v>반영</x:v>
      </x:c>
      <x:c r="O84" s="30" t="n">
        <x:f>IF(AND(N84="반영",ISNUMBER(H84)),H84,"미산정")</x:f>
        <x:v>3040</x:v>
      </x:c>
      <x:c r="P84" s="25" t="str">
        <x:v>미제공</x:v>
      </x:c>
      <x:c r="Q84" s="6" t="str">
        <x:v>등록 품목·규격과 일치</x:v>
      </x:c>
      <x:c r="R84" s="65" t="n">
        <x:f>K84</x:f>
        <x:v>2</x:v>
      </x:c>
      <x:c r="S84" s="68" t="n">
        <x:f>MAX(0,MIN(1,($B$15-I84+1)/(J84-I84+1)))</x:f>
        <x:v>1</x:v>
      </x:c>
      <x:c r="T84" s="72" t="n">
        <x:f>IF(ISNUMBER(O84),IF(R84&lt;=$B$15,O84,0),"미산정")</x:f>
        <x:v>3040</x:v>
      </x:c>
      <x:c r="U84" s="72" t="n">
        <x:f>IF(ISNUMBER(O84),MIN(T84,ROUND(O84*S84,0)),"미산정")</x:f>
        <x:v>3040</x:v>
      </x:c>
      <x:c r="V84" s="72" t="n">
        <x:f>IF(ISNUMBER(O84),T84-U84,"미산정")</x:f>
        <x:v>0</x:v>
      </x:c>
      <x:c r="W84" s="72" t="n">
        <x:f>IF(ISNUMBER(O84),O84-T84,"미산정")</x:f>
        <x:v>0</x:v>
      </x:c>
      <x:c r="X84" s="72" t="n">
        <x:f>IF(ISNUMBER(O84),O84-U84,"미산정")</x:f>
        <x:v>0</x:v>
      </x:c>
    </x:row>
    <x:row r="85" ht="44" customHeight="1">
      <x:c r="A85" s="24" t="n">
        <x:v>75</x:v>
      </x:c>
      <x:c r="B85" s="24" t="str">
        <x:v>104동</x:v>
      </x:c>
      <x:c r="C85" s="13" t="str">
        <x:v>벽체·기둥 철근배근</x:v>
      </x:c>
      <x:c r="D85" s="13" t="str">
        <x:v>RB-D22</x:v>
      </x:c>
      <x:c r="E85" s="13" t="str">
        <x:v>철근</x:v>
      </x:c>
      <x:c r="F85" s="13" t="str">
        <x:v>SD500 D22 / 부위별 공장 가공</x:v>
      </x:c>
      <x:c r="G85" s="13" t="str">
        <x:v>kg</x:v>
      </x:c>
      <x:c r="H85" s="17" t="n">
        <x:v>4060</x:v>
      </x:c>
      <x:c r="I85" s="26" t="n">
        <x:v>3</x:v>
      </x:c>
      <x:c r="J85" s="26" t="n">
        <x:v>7</x:v>
      </x:c>
      <x:c r="K85" s="26" t="n">
        <x:v>2</x:v>
      </x:c>
      <x:c r="L85" s="13" t="str">
        <x:v>철근</x:v>
      </x:c>
      <x:c r="M85" s="13" t="str">
        <x:v>D22</x:v>
      </x:c>
      <x:c r="N85" s="24" t="str">
        <x:v>반영</x:v>
      </x:c>
      <x:c r="O85" s="29" t="n">
        <x:f>IF(AND(N85="반영",ISNUMBER(H85)),H85,"미산정")</x:f>
        <x:v>4060</x:v>
      </x:c>
      <x:c r="P85" s="24" t="str">
        <x:v>미제공</x:v>
      </x:c>
      <x:c r="Q85" s="13" t="str">
        <x:v>등록 품목·규격과 일치</x:v>
      </x:c>
      <x:c r="R85" s="65" t="n">
        <x:f>K85</x:f>
        <x:v>2</x:v>
      </x:c>
      <x:c r="S85" s="67" t="n">
        <x:f>MAX(0,MIN(1,($B$15-I85+1)/(J85-I85+1)))</x:f>
        <x:v>1</x:v>
      </x:c>
      <x:c r="T85" s="71" t="n">
        <x:f>IF(ISNUMBER(O85),IF(R85&lt;=$B$15,O85,0),"미산정")</x:f>
        <x:v>4060</x:v>
      </x:c>
      <x:c r="U85" s="71" t="n">
        <x:f>IF(ISNUMBER(O85),MIN(T85,ROUND(O85*S85,0)),"미산정")</x:f>
        <x:v>4060</x:v>
      </x:c>
      <x:c r="V85" s="71" t="n">
        <x:f>IF(ISNUMBER(O85),T85-U85,"미산정")</x:f>
        <x:v>0</x:v>
      </x:c>
      <x:c r="W85" s="71" t="n">
        <x:f>IF(ISNUMBER(O85),O85-T85,"미산정")</x:f>
        <x:v>0</x:v>
      </x:c>
      <x:c r="X85" s="71" t="n">
        <x:f>IF(ISNUMBER(O85),O85-U85,"미산정")</x:f>
        <x:v>0</x:v>
      </x:c>
    </x:row>
    <x:row r="86" ht="44" customHeight="1">
      <x:c r="A86" s="25" t="n">
        <x:v>76</x:v>
      </x:c>
      <x:c r="B86" s="25" t="str">
        <x:v>104동</x:v>
      </x:c>
      <x:c r="C86" s="6" t="str">
        <x:v>벽체·기둥 철근배근</x:v>
      </x:c>
      <x:c r="D86" s="6" t="str">
        <x:v>RB-D25</x:v>
      </x:c>
      <x:c r="E86" s="6" t="str">
        <x:v>철근</x:v>
      </x:c>
      <x:c r="F86" s="6" t="str">
        <x:v>SD500 D25 / 부위별 공장 가공</x:v>
      </x:c>
      <x:c r="G86" s="6" t="str">
        <x:v>kg</x:v>
      </x:c>
      <x:c r="H86" s="18" t="n">
        <x:v>6080</x:v>
      </x:c>
      <x:c r="I86" s="27" t="n">
        <x:v>3</x:v>
      </x:c>
      <x:c r="J86" s="27" t="n">
        <x:v>7</x:v>
      </x:c>
      <x:c r="K86" s="27" t="n">
        <x:v>2</x:v>
      </x:c>
      <x:c r="L86" s="6" t="str">
        <x:v>철근</x:v>
      </x:c>
      <x:c r="M86" s="6" t="str">
        <x:v>D25</x:v>
      </x:c>
      <x:c r="N86" s="25" t="str">
        <x:v>반영</x:v>
      </x:c>
      <x:c r="O86" s="30" t="n">
        <x:f>IF(AND(N86="반영",ISNUMBER(H86)),H86,"미산정")</x:f>
        <x:v>6080</x:v>
      </x:c>
      <x:c r="P86" s="25" t="str">
        <x:v>미제공</x:v>
      </x:c>
      <x:c r="Q86" s="6" t="str">
        <x:v>등록 품목·규격과 일치</x:v>
      </x:c>
      <x:c r="R86" s="65" t="n">
        <x:f>K86</x:f>
        <x:v>2</x:v>
      </x:c>
      <x:c r="S86" s="68" t="n">
        <x:f>MAX(0,MIN(1,($B$15-I86+1)/(J86-I86+1)))</x:f>
        <x:v>1</x:v>
      </x:c>
      <x:c r="T86" s="72" t="n">
        <x:f>IF(ISNUMBER(O86),IF(R86&lt;=$B$15,O86,0),"미산정")</x:f>
        <x:v>6080</x:v>
      </x:c>
      <x:c r="U86" s="72" t="n">
        <x:f>IF(ISNUMBER(O86),MIN(T86,ROUND(O86*S86,0)),"미산정")</x:f>
        <x:v>6080</x:v>
      </x:c>
      <x:c r="V86" s="72" t="n">
        <x:f>IF(ISNUMBER(O86),T86-U86,"미산정")</x:f>
        <x:v>0</x:v>
      </x:c>
      <x:c r="W86" s="72" t="n">
        <x:f>IF(ISNUMBER(O86),O86-T86,"미산정")</x:f>
        <x:v>0</x:v>
      </x:c>
      <x:c r="X86" s="72" t="n">
        <x:f>IF(ISNUMBER(O86),O86-U86,"미산정")</x:f>
        <x:v>0</x:v>
      </x:c>
    </x:row>
    <x:row r="87" ht="44" customHeight="1">
      <x:c r="A87" s="24" t="n">
        <x:v>77</x:v>
      </x:c>
      <x:c r="B87" s="24" t="str">
        <x:v>104동</x:v>
      </x:c>
      <x:c r="C87" s="13" t="str">
        <x:v>수직부 거푸집 설치</x:v>
      </x:c>
      <x:c r="D87" s="13" t="str">
        <x:v>EF-5012</x:v>
      </x:c>
      <x:c r="E87" s="13" t="str">
        <x:v>유로폼</x:v>
      </x:c>
      <x:c r="F87" s="13" t="str">
        <x:v>500×1,200mm</x:v>
      </x:c>
      <x:c r="G87" s="13" t="str">
        <x:v>장</x:v>
      </x:c>
      <x:c r="H87" s="17" t="n">
        <x:v>822</x:v>
      </x:c>
      <x:c r="I87" s="26" t="n">
        <x:v>8</x:v>
      </x:c>
      <x:c r="J87" s="26" t="n">
        <x:v>14</x:v>
      </x:c>
      <x:c r="K87" s="26" t="n">
        <x:v>7</x:v>
      </x:c>
      <x:c r="L87" s="13" t="str">
        <x:v>유로폼</x:v>
      </x:c>
      <x:c r="M87" s="13" t="str">
        <x:v>500x1200</x:v>
      </x:c>
      <x:c r="N87" s="24" t="str">
        <x:v>반영</x:v>
      </x:c>
      <x:c r="O87" s="29" t="n">
        <x:f>IF(AND(N87="반영",ISNUMBER(H87)),H87,"미산정")</x:f>
        <x:v>822</x:v>
      </x:c>
      <x:c r="P87" s="24" t="str">
        <x:v>해당 없음</x:v>
      </x:c>
      <x:c r="Q87" s="13" t="str">
        <x:v>등록 품목·규격과 일치</x:v>
      </x:c>
      <x:c r="R87" s="65" t="n">
        <x:f>K87</x:f>
        <x:v>7</x:v>
      </x:c>
      <x:c r="S87" s="67" t="n">
        <x:f>MAX(0,MIN(1,($B$15-I87+1)/(J87-I87+1)))</x:f>
        <x:v>0.42857142857142855</x:v>
      </x:c>
      <x:c r="T87" s="71" t="n">
        <x:f>IF(ISNUMBER(O87),IF(R87&lt;=$B$15,O87,0),"미산정")</x:f>
        <x:v>822</x:v>
      </x:c>
      <x:c r="U87" s="71" t="n">
        <x:f>IF(ISNUMBER(O87),MIN(T87,ROUND(O87*S87,0)),"미산정")</x:f>
        <x:v>352</x:v>
      </x:c>
      <x:c r="V87" s="71" t="n">
        <x:f>IF(ISNUMBER(O87),T87-U87,"미산정")</x:f>
        <x:v>470</x:v>
      </x:c>
      <x:c r="W87" s="71" t="n">
        <x:f>IF(ISNUMBER(O87),O87-T87,"미산정")</x:f>
        <x:v>0</x:v>
      </x:c>
      <x:c r="X87" s="71" t="n">
        <x:f>IF(ISNUMBER(O87),O87-U87,"미산정")</x:f>
        <x:v>470</x:v>
      </x:c>
    </x:row>
    <x:row r="88" ht="44" customHeight="1">
      <x:c r="A88" s="25" t="n">
        <x:v>78</x:v>
      </x:c>
      <x:c r="B88" s="25" t="str">
        <x:v>104동</x:v>
      </x:c>
      <x:c r="C88" s="6" t="str">
        <x:v>수직부 거푸집 설치</x:v>
      </x:c>
      <x:c r="D88" s="6" t="str">
        <x:v>EF-6012</x:v>
      </x:c>
      <x:c r="E88" s="6" t="str">
        <x:v>유로폼</x:v>
      </x:c>
      <x:c r="F88" s="6" t="str">
        <x:v>600×1,200mm</x:v>
      </x:c>
      <x:c r="G88" s="6" t="str">
        <x:v>장</x:v>
      </x:c>
      <x:c r="H88" s="18" t="n">
        <x:v>286</x:v>
      </x:c>
      <x:c r="I88" s="27" t="n">
        <x:v>8</x:v>
      </x:c>
      <x:c r="J88" s="27" t="n">
        <x:v>14</x:v>
      </x:c>
      <x:c r="K88" s="27" t="n">
        <x:v>7</x:v>
      </x:c>
      <x:c r="L88" s="6" t="str">
        <x:v>유로폼</x:v>
      </x:c>
      <x:c r="M88" s="6" t="str">
        <x:v>600x1200</x:v>
      </x:c>
      <x:c r="N88" s="25" t="str">
        <x:v>반영</x:v>
      </x:c>
      <x:c r="O88" s="30" t="n">
        <x:f>IF(AND(N88="반영",ISNUMBER(H88)),H88,"미산정")</x:f>
        <x:v>286</x:v>
      </x:c>
      <x:c r="P88" s="25" t="str">
        <x:v>해당 없음</x:v>
      </x:c>
      <x:c r="Q88" s="6" t="str">
        <x:v>등록 품목·규격과 일치</x:v>
      </x:c>
      <x:c r="R88" s="65" t="n">
        <x:f>K88</x:f>
        <x:v>7</x:v>
      </x:c>
      <x:c r="S88" s="68" t="n">
        <x:f>MAX(0,MIN(1,($B$15-I88+1)/(J88-I88+1)))</x:f>
        <x:v>0.42857142857142855</x:v>
      </x:c>
      <x:c r="T88" s="72" t="n">
        <x:f>IF(ISNUMBER(O88),IF(R88&lt;=$B$15,O88,0),"미산정")</x:f>
        <x:v>286</x:v>
      </x:c>
      <x:c r="U88" s="72" t="n">
        <x:f>IF(ISNUMBER(O88),MIN(T88,ROUND(O88*S88,0)),"미산정")</x:f>
        <x:v>123</x:v>
      </x:c>
      <x:c r="V88" s="72" t="n">
        <x:f>IF(ISNUMBER(O88),T88-U88,"미산정")</x:f>
        <x:v>163</x:v>
      </x:c>
      <x:c r="W88" s="72" t="n">
        <x:f>IF(ISNUMBER(O88),O88-T88,"미산정")</x:f>
        <x:v>0</x:v>
      </x:c>
      <x:c r="X88" s="72" t="n">
        <x:f>IF(ISNUMBER(O88),O88-U88,"미산정")</x:f>
        <x:v>163</x:v>
      </x:c>
    </x:row>
    <x:row r="89" ht="44" customHeight="1">
      <x:c r="A89" s="24" t="n">
        <x:v>79</x:v>
      </x:c>
      <x:c r="B89" s="24" t="str">
        <x:v>104동</x:v>
      </x:c>
      <x:c r="C89" s="13" t="str">
        <x:v>수직부 거푸집 설치</x:v>
      </x:c>
      <x:c r="D89" s="13" t="str">
        <x:v>EF-3012</x:v>
      </x:c>
      <x:c r="E89" s="13" t="str">
        <x:v>유로폼</x:v>
      </x:c>
      <x:c r="F89" s="13" t="str">
        <x:v>300×1,200mm</x:v>
      </x:c>
      <x:c r="G89" s="13" t="str">
        <x:v>장</x:v>
      </x:c>
      <x:c r="H89" s="17" t="n">
        <x:v>229</x:v>
      </x:c>
      <x:c r="I89" s="26" t="n">
        <x:v>8</x:v>
      </x:c>
      <x:c r="J89" s="26" t="n">
        <x:v>14</x:v>
      </x:c>
      <x:c r="K89" s="26" t="n">
        <x:v>7</x:v>
      </x:c>
      <x:c r="L89" s="13" t="str">
        <x:v>유로폼</x:v>
      </x:c>
      <x:c r="M89" s="13" t="str">
        <x:v>300x1200</x:v>
      </x:c>
      <x:c r="N89" s="24" t="str">
        <x:v>반영</x:v>
      </x:c>
      <x:c r="O89" s="29" t="n">
        <x:f>IF(AND(N89="반영",ISNUMBER(H89)),H89,"미산정")</x:f>
        <x:v>229</x:v>
      </x:c>
      <x:c r="P89" s="24" t="str">
        <x:v>해당 없음</x:v>
      </x:c>
      <x:c r="Q89" s="13" t="str">
        <x:v>등록 품목·규격과 일치</x:v>
      </x:c>
      <x:c r="R89" s="65" t="n">
        <x:f>K89</x:f>
        <x:v>7</x:v>
      </x:c>
      <x:c r="S89" s="67" t="n">
        <x:f>MAX(0,MIN(1,($B$15-I89+1)/(J89-I89+1)))</x:f>
        <x:v>0.42857142857142855</x:v>
      </x:c>
      <x:c r="T89" s="71" t="n">
        <x:f>IF(ISNUMBER(O89),IF(R89&lt;=$B$15,O89,0),"미산정")</x:f>
        <x:v>229</x:v>
      </x:c>
      <x:c r="U89" s="71" t="n">
        <x:f>IF(ISNUMBER(O89),MIN(T89,ROUND(O89*S89,0)),"미산정")</x:f>
        <x:v>98</x:v>
      </x:c>
      <x:c r="V89" s="71" t="n">
        <x:f>IF(ISNUMBER(O89),T89-U89,"미산정")</x:f>
        <x:v>131</x:v>
      </x:c>
      <x:c r="W89" s="71" t="n">
        <x:f>IF(ISNUMBER(O89),O89-T89,"미산정")</x:f>
        <x:v>0</x:v>
      </x:c>
      <x:c r="X89" s="71" t="n">
        <x:f>IF(ISNUMBER(O89),O89-U89,"미산정")</x:f>
        <x:v>131</x:v>
      </x:c>
    </x:row>
    <x:row r="90" ht="44" customHeight="1">
      <x:c r="A90" s="25" t="n">
        <x:v>80</x:v>
      </x:c>
      <x:c r="B90" s="25" t="str">
        <x:v>104동</x:v>
      </x:c>
      <x:c r="C90" s="6" t="str">
        <x:v>수직부 거푸집 설치</x:v>
      </x:c>
      <x:c r="D90" s="6" t="str">
        <x:v>EF-5006</x:v>
      </x:c>
      <x:c r="E90" s="6" t="str">
        <x:v>유로폼</x:v>
      </x:c>
      <x:c r="F90" s="6" t="str">
        <x:v>500×600mm</x:v>
      </x:c>
      <x:c r="G90" s="6" t="str">
        <x:v>장</x:v>
      </x:c>
      <x:c r="H90" s="18" t="n">
        <x:v>137</x:v>
      </x:c>
      <x:c r="I90" s="27" t="n">
        <x:v>8</x:v>
      </x:c>
      <x:c r="J90" s="27" t="n">
        <x:v>14</x:v>
      </x:c>
      <x:c r="K90" s="27" t="n">
        <x:v>7</x:v>
      </x:c>
      <x:c r="L90" s="6" t="str">
        <x:v>미등록</x:v>
      </x:c>
      <x:c r="M90" s="6" t="str">
        <x:v>미산정</x:v>
      </x:c>
      <x:c r="N90" s="28" t="str">
        <x:v>미산정</x:v>
      </x:c>
      <x:c r="O90" s="31" t="str">
        <x:f>IF(AND(N90="반영",ISNUMBER(H90)),H90,"미산정")</x:f>
        <x:v>미산정</x:v>
      </x:c>
      <x:c r="P90" s="28" t="str">
        <x:v>해당 없음</x:v>
      </x:c>
      <x:c r="Q90" s="14" t="str">
        <x:v>유로폼 500×600은 현재 웹 등록 규격에 없음</x:v>
      </x:c>
      <x:c r="R90" s="65" t="n">
        <x:f>K90</x:f>
        <x:v>7</x:v>
      </x:c>
      <x:c r="S90" s="68" t="n">
        <x:f>MAX(0,MIN(1,($B$15-I90+1)/(J90-I90+1)))</x:f>
        <x:v>0.42857142857142855</x:v>
      </x:c>
      <x:c r="T90" s="72" t="str">
        <x:f>IF(ISNUMBER(O90),IF(R90&lt;=$B$15,O90,0),"미산정")</x:f>
        <x:v>미산정</x:v>
      </x:c>
      <x:c r="U90" s="72" t="str">
        <x:f>IF(ISNUMBER(O90),MIN(T90,ROUND(O90*S90,0)),"미산정")</x:f>
        <x:v>미산정</x:v>
      </x:c>
      <x:c r="V90" s="72" t="str">
        <x:f>IF(ISNUMBER(O90),T90-U90,"미산정")</x:f>
        <x:v>미산정</x:v>
      </x:c>
      <x:c r="W90" s="72" t="str">
        <x:f>IF(ISNUMBER(O90),O90-T90,"미산정")</x:f>
        <x:v>미산정</x:v>
      </x:c>
      <x:c r="X90" s="72" t="str">
        <x:f>IF(ISNUMBER(O90),O90-U90,"미산정")</x:f>
        <x:v>미산정</x:v>
      </x:c>
    </x:row>
    <x:row r="91" ht="44" customHeight="1">
      <x:c r="A91" s="24" t="n">
        <x:v>81</x:v>
      </x:c>
      <x:c r="B91" s="24" t="str">
        <x:v>104동</x:v>
      </x:c>
      <x:c r="C91" s="13" t="str">
        <x:v>수직부 거푸집 설치</x:v>
      </x:c>
      <x:c r="D91" s="13" t="str">
        <x:v>PW-1224</x:v>
      </x:c>
      <x:c r="E91" s="13" t="str">
        <x:v>코팅합판</x:v>
      </x:c>
      <x:c r="F91" s="13" t="str">
        <x:v>1,220×2,440×12mm</x:v>
      </x:c>
      <x:c r="G91" s="13" t="str">
        <x:v>장</x:v>
      </x:c>
      <x:c r="H91" s="17" t="n">
        <x:v>13</x:v>
      </x:c>
      <x:c r="I91" s="26" t="n">
        <x:v>8</x:v>
      </x:c>
      <x:c r="J91" s="26" t="n">
        <x:v>14</x:v>
      </x:c>
      <x:c r="K91" s="26" t="n">
        <x:v>7</x:v>
      </x:c>
      <x:c r="L91" s="13" t="str">
        <x:v>미등록</x:v>
      </x:c>
      <x:c r="M91" s="13" t="str">
        <x:v>미산정</x:v>
      </x:c>
      <x:c r="N91" s="28" t="str">
        <x:v>미산정</x:v>
      </x:c>
      <x:c r="O91" s="31" t="str">
        <x:f>IF(AND(N91="반영",ISNUMBER(H91)),H91,"미산정")</x:f>
        <x:v>미산정</x:v>
      </x:c>
      <x:c r="P91" s="28" t="str">
        <x:v>해당 없음</x:v>
      </x:c>
      <x:c r="Q91" s="14" t="str">
        <x:v>현재 웹 등록 품목에 없음. 다른 품목으로 대체하지 않음</x:v>
      </x:c>
      <x:c r="R91" s="65" t="n">
        <x:f>K91</x:f>
        <x:v>7</x:v>
      </x:c>
      <x:c r="S91" s="67" t="n">
        <x:f>MAX(0,MIN(1,($B$15-I91+1)/(J91-I91+1)))</x:f>
        <x:v>0.42857142857142855</x:v>
      </x:c>
      <x:c r="T91" s="71" t="str">
        <x:f>IF(ISNUMBER(O91),IF(R91&lt;=$B$15,O91,0),"미산정")</x:f>
        <x:v>미산정</x:v>
      </x:c>
      <x:c r="U91" s="71" t="str">
        <x:f>IF(ISNUMBER(O91),MIN(T91,ROUND(O91*S91,0)),"미산정")</x:f>
        <x:v>미산정</x:v>
      </x:c>
      <x:c r="V91" s="71" t="str">
        <x:f>IF(ISNUMBER(O91),T91-U91,"미산정")</x:f>
        <x:v>미산정</x:v>
      </x:c>
      <x:c r="W91" s="71" t="str">
        <x:f>IF(ISNUMBER(O91),O91-T91,"미산정")</x:f>
        <x:v>미산정</x:v>
      </x:c>
      <x:c r="X91" s="71" t="str">
        <x:f>IF(ISNUMBER(O91),O91-U91,"미산정")</x:f>
        <x:v>미산정</x:v>
      </x:c>
    </x:row>
    <x:row r="92" ht="44" customHeight="1">
      <x:c r="A92" s="25" t="n">
        <x:v>82</x:v>
      </x:c>
      <x:c r="B92" s="25" t="str">
        <x:v>104동</x:v>
      </x:c>
      <x:c r="C92" s="6" t="str">
        <x:v>수직부 거푸집 설치</x:v>
      </x:c>
      <x:c r="D92" s="6" t="str">
        <x:v>IC-1012</x:v>
      </x:c>
      <x:c r="E92" s="6" t="str">
        <x:v>인코너</x:v>
      </x:c>
      <x:c r="F92" s="6" t="str">
        <x:v>100×100×1,200mm</x:v>
      </x:c>
      <x:c r="G92" s="6" t="str">
        <x:v>개</x:v>
      </x:c>
      <x:c r="H92" s="18" t="n">
        <x:v>60</x:v>
      </x:c>
      <x:c r="I92" s="27" t="n">
        <x:v>8</x:v>
      </x:c>
      <x:c r="J92" s="27" t="n">
        <x:v>14</x:v>
      </x:c>
      <x:c r="K92" s="27" t="n">
        <x:v>7</x:v>
      </x:c>
      <x:c r="L92" s="6" t="str">
        <x:v>미등록</x:v>
      </x:c>
      <x:c r="M92" s="6" t="str">
        <x:v>미산정</x:v>
      </x:c>
      <x:c r="N92" s="28" t="str">
        <x:v>미산정</x:v>
      </x:c>
      <x:c r="O92" s="31" t="str">
        <x:f>IF(AND(N92="반영",ISNUMBER(H92)),H92,"미산정")</x:f>
        <x:v>미산정</x:v>
      </x:c>
      <x:c r="P92" s="28" t="str">
        <x:v>해당 없음</x:v>
      </x:c>
      <x:c r="Q92" s="14" t="str">
        <x:v>현재 웹 등록 품목에 없음. 다른 품목으로 대체하지 않음</x:v>
      </x:c>
      <x:c r="R92" s="65" t="n">
        <x:f>K92</x:f>
        <x:v>7</x:v>
      </x:c>
      <x:c r="S92" s="68" t="n">
        <x:f>MAX(0,MIN(1,($B$15-I92+1)/(J92-I92+1)))</x:f>
        <x:v>0.42857142857142855</x:v>
      </x:c>
      <x:c r="T92" s="72" t="str">
        <x:f>IF(ISNUMBER(O92),IF(R92&lt;=$B$15,O92,0),"미산정")</x:f>
        <x:v>미산정</x:v>
      </x:c>
      <x:c r="U92" s="72" t="str">
        <x:f>IF(ISNUMBER(O92),MIN(T92,ROUND(O92*S92,0)),"미산정")</x:f>
        <x:v>미산정</x:v>
      </x:c>
      <x:c r="V92" s="72" t="str">
        <x:f>IF(ISNUMBER(O92),T92-U92,"미산정")</x:f>
        <x:v>미산정</x:v>
      </x:c>
      <x:c r="W92" s="72" t="str">
        <x:f>IF(ISNUMBER(O92),O92-T92,"미산정")</x:f>
        <x:v>미산정</x:v>
      </x:c>
      <x:c r="X92" s="72" t="str">
        <x:f>IF(ISNUMBER(O92),O92-U92,"미산정")</x:f>
        <x:v>미산정</x:v>
      </x:c>
    </x:row>
    <x:row r="93" ht="44" customHeight="1">
      <x:c r="A93" s="24" t="n">
        <x:v>83</x:v>
      </x:c>
      <x:c r="B93" s="24" t="str">
        <x:v>104동</x:v>
      </x:c>
      <x:c r="C93" s="13" t="str">
        <x:v>수직부 거푸집 설치</x:v>
      </x:c>
      <x:c r="D93" s="13" t="str">
        <x:v>OC-12</x:v>
      </x:c>
      <x:c r="E93" s="13" t="str">
        <x:v>아웃코너</x:v>
      </x:c>
      <x:c r="F93" s="13" t="str">
        <x:v>길이 1,200mm</x:v>
      </x:c>
      <x:c r="G93" s="13" t="str">
        <x:v>개</x:v>
      </x:c>
      <x:c r="H93" s="17" t="n">
        <x:v>320</x:v>
      </x:c>
      <x:c r="I93" s="26" t="n">
        <x:v>8</x:v>
      </x:c>
      <x:c r="J93" s="26" t="n">
        <x:v>14</x:v>
      </x:c>
      <x:c r="K93" s="26" t="n">
        <x:v>7</x:v>
      </x:c>
      <x:c r="L93" s="13" t="str">
        <x:v>미등록</x:v>
      </x:c>
      <x:c r="M93" s="13" t="str">
        <x:v>미산정</x:v>
      </x:c>
      <x:c r="N93" s="28" t="str">
        <x:v>미산정</x:v>
      </x:c>
      <x:c r="O93" s="31" t="str">
        <x:f>IF(AND(N93="반영",ISNUMBER(H93)),H93,"미산정")</x:f>
        <x:v>미산정</x:v>
      </x:c>
      <x:c r="P93" s="28" t="str">
        <x:v>해당 없음</x:v>
      </x:c>
      <x:c r="Q93" s="14" t="str">
        <x:v>현재 웹 등록 품목에 없음. 다른 품목으로 대체하지 않음</x:v>
      </x:c>
      <x:c r="R93" s="65" t="n">
        <x:f>K93</x:f>
        <x:v>7</x:v>
      </x:c>
      <x:c r="S93" s="67" t="n">
        <x:f>MAX(0,MIN(1,($B$15-I93+1)/(J93-I93+1)))</x:f>
        <x:v>0.42857142857142855</x:v>
      </x:c>
      <x:c r="T93" s="71" t="str">
        <x:f>IF(ISNUMBER(O93),IF(R93&lt;=$B$15,O93,0),"미산정")</x:f>
        <x:v>미산정</x:v>
      </x:c>
      <x:c r="U93" s="71" t="str">
        <x:f>IF(ISNUMBER(O93),MIN(T93,ROUND(O93*S93,0)),"미산정")</x:f>
        <x:v>미산정</x:v>
      </x:c>
      <x:c r="V93" s="71" t="str">
        <x:f>IF(ISNUMBER(O93),T93-U93,"미산정")</x:f>
        <x:v>미산정</x:v>
      </x:c>
      <x:c r="W93" s="71" t="str">
        <x:f>IF(ISNUMBER(O93),O93-T93,"미산정")</x:f>
        <x:v>미산정</x:v>
      </x:c>
      <x:c r="X93" s="71" t="str">
        <x:f>IF(ISNUMBER(O93),O93-U93,"미산정")</x:f>
        <x:v>미산정</x:v>
      </x:c>
    </x:row>
    <x:row r="94" ht="44" customHeight="1">
      <x:c r="A94" s="25" t="n">
        <x:v>84</x:v>
      </x:c>
      <x:c r="B94" s="25" t="str">
        <x:v>104동</x:v>
      </x:c>
      <x:c r="C94" s="6" t="str">
        <x:v>시스템동바리 조립</x:v>
      </x:c>
      <x:c r="D94" s="6" t="str">
        <x:v>SV-1725</x:v>
      </x:c>
      <x:c r="E94" s="6" t="str">
        <x:v>수직재</x:v>
      </x:c>
      <x:c r="F94" s="6" t="str">
        <x:v>Ø60.5 / L=1,725mm</x:v>
      </x:c>
      <x:c r="G94" s="6" t="str">
        <x:v>본</x:v>
      </x:c>
      <x:c r="H94" s="18" t="n">
        <x:v>911</x:v>
      </x:c>
      <x:c r="I94" s="27" t="n">
        <x:v>15</x:v>
      </x:c>
      <x:c r="J94" s="27" t="n">
        <x:v>17</x:v>
      </x:c>
      <x:c r="K94" s="27" t="n">
        <x:v>14</x:v>
      </x:c>
      <x:c r="L94" s="6" t="str">
        <x:v>미등록</x:v>
      </x:c>
      <x:c r="M94" s="6" t="str">
        <x:v>미산정</x:v>
      </x:c>
      <x:c r="N94" s="28" t="str">
        <x:v>미산정</x:v>
      </x:c>
      <x:c r="O94" s="31" t="str">
        <x:f>IF(AND(N94="반영",ISNUMBER(H94)),H94,"미산정")</x:f>
        <x:v>미산정</x:v>
      </x:c>
      <x:c r="P94" s="28" t="str">
        <x:v>해당 없음</x:v>
      </x:c>
      <x:c r="Q94" s="14" t="str">
        <x:v>원자료 치수·DSD 코드와 웹 P·H·OB 규격의 동일성 미확인</x:v>
      </x:c>
      <x:c r="R94" s="65" t="n">
        <x:f>K94</x:f>
        <x:v>14</x:v>
      </x:c>
      <x:c r="S94" s="68" t="n">
        <x:f>MAX(0,MIN(1,($B$15-I94+1)/(J94-I94+1)))</x:f>
        <x:v>0</x:v>
      </x:c>
      <x:c r="T94" s="72" t="str">
        <x:f>IF(ISNUMBER(O94),IF(R94&lt;=$B$15,O94,0),"미산정")</x:f>
        <x:v>미산정</x:v>
      </x:c>
      <x:c r="U94" s="72" t="str">
        <x:f>IF(ISNUMBER(O94),MIN(T94,ROUND(O94*S94,0)),"미산정")</x:f>
        <x:v>미산정</x:v>
      </x:c>
      <x:c r="V94" s="72" t="str">
        <x:f>IF(ISNUMBER(O94),T94-U94,"미산정")</x:f>
        <x:v>미산정</x:v>
      </x:c>
      <x:c r="W94" s="72" t="str">
        <x:f>IF(ISNUMBER(O94),O94-T94,"미산정")</x:f>
        <x:v>미산정</x:v>
      </x:c>
      <x:c r="X94" s="72" t="str">
        <x:f>IF(ISNUMBER(O94),O94-U94,"미산정")</x:f>
        <x:v>미산정</x:v>
      </x:c>
    </x:row>
    <x:row r="95" ht="44" customHeight="1">
      <x:c r="A95" s="24" t="n">
        <x:v>85</x:v>
      </x:c>
      <x:c r="B95" s="24" t="str">
        <x:v>104동</x:v>
      </x:c>
      <x:c r="C95" s="13" t="str">
        <x:v>시스템동바리 조립</x:v>
      </x:c>
      <x:c r="D95" s="13" t="str">
        <x:v>SV-1291</x:v>
      </x:c>
      <x:c r="E95" s="13" t="str">
        <x:v>수직재</x:v>
      </x:c>
      <x:c r="F95" s="13" t="str">
        <x:v>Ø60.5 / L=1,291mm</x:v>
      </x:c>
      <x:c r="G95" s="13" t="str">
        <x:v>본</x:v>
      </x:c>
      <x:c r="H95" s="17" t="n">
        <x:v>181</x:v>
      </x:c>
      <x:c r="I95" s="26" t="n">
        <x:v>15</x:v>
      </x:c>
      <x:c r="J95" s="26" t="n">
        <x:v>17</x:v>
      </x:c>
      <x:c r="K95" s="26" t="n">
        <x:v>14</x:v>
      </x:c>
      <x:c r="L95" s="13" t="str">
        <x:v>미등록</x:v>
      </x:c>
      <x:c r="M95" s="13" t="str">
        <x:v>미산정</x:v>
      </x:c>
      <x:c r="N95" s="28" t="str">
        <x:v>미산정</x:v>
      </x:c>
      <x:c r="O95" s="31" t="str">
        <x:f>IF(AND(N95="반영",ISNUMBER(H95)),H95,"미산정")</x:f>
        <x:v>미산정</x:v>
      </x:c>
      <x:c r="P95" s="28" t="str">
        <x:v>해당 없음</x:v>
      </x:c>
      <x:c r="Q95" s="14" t="str">
        <x:v>원자료 치수·DSD 코드와 웹 P·H·OB 규격의 동일성 미확인</x:v>
      </x:c>
      <x:c r="R95" s="65" t="n">
        <x:f>K95</x:f>
        <x:v>14</x:v>
      </x:c>
      <x:c r="S95" s="67" t="n">
        <x:f>MAX(0,MIN(1,($B$15-I95+1)/(J95-I95+1)))</x:f>
        <x:v>0</x:v>
      </x:c>
      <x:c r="T95" s="71" t="str">
        <x:f>IF(ISNUMBER(O95),IF(R95&lt;=$B$15,O95,0),"미산정")</x:f>
        <x:v>미산정</x:v>
      </x:c>
      <x:c r="U95" s="71" t="str">
        <x:f>IF(ISNUMBER(O95),MIN(T95,ROUND(O95*S95,0)),"미산정")</x:f>
        <x:v>미산정</x:v>
      </x:c>
      <x:c r="V95" s="71" t="str">
        <x:f>IF(ISNUMBER(O95),T95-U95,"미산정")</x:f>
        <x:v>미산정</x:v>
      </x:c>
      <x:c r="W95" s="71" t="str">
        <x:f>IF(ISNUMBER(O95),O95-T95,"미산정")</x:f>
        <x:v>미산정</x:v>
      </x:c>
      <x:c r="X95" s="71" t="str">
        <x:f>IF(ISNUMBER(O95),O95-U95,"미산정")</x:f>
        <x:v>미산정</x:v>
      </x:c>
    </x:row>
    <x:row r="96" ht="44" customHeight="1">
      <x:c r="A96" s="25" t="n">
        <x:v>86</x:v>
      </x:c>
      <x:c r="B96" s="25" t="str">
        <x:v>104동</x:v>
      </x:c>
      <x:c r="C96" s="6" t="str">
        <x:v>시스템동바리 조립</x:v>
      </x:c>
      <x:c r="D96" s="6" t="str">
        <x:v>SV-0863</x:v>
      </x:c>
      <x:c r="E96" s="6" t="str">
        <x:v>수직재</x:v>
      </x:c>
      <x:c r="F96" s="6" t="str">
        <x:v>Ø60.5 / L=863mm</x:v>
      </x:c>
      <x:c r="G96" s="6" t="str">
        <x:v>본</x:v>
      </x:c>
      <x:c r="H96" s="18" t="n">
        <x:v>546</x:v>
      </x:c>
      <x:c r="I96" s="27" t="n">
        <x:v>15</x:v>
      </x:c>
      <x:c r="J96" s="27" t="n">
        <x:v>17</x:v>
      </x:c>
      <x:c r="K96" s="27" t="n">
        <x:v>14</x:v>
      </x:c>
      <x:c r="L96" s="6" t="str">
        <x:v>미등록</x:v>
      </x:c>
      <x:c r="M96" s="6" t="str">
        <x:v>미산정</x:v>
      </x:c>
      <x:c r="N96" s="28" t="str">
        <x:v>미산정</x:v>
      </x:c>
      <x:c r="O96" s="31" t="str">
        <x:f>IF(AND(N96="반영",ISNUMBER(H96)),H96,"미산정")</x:f>
        <x:v>미산정</x:v>
      </x:c>
      <x:c r="P96" s="28" t="str">
        <x:v>해당 없음</x:v>
      </x:c>
      <x:c r="Q96" s="14" t="str">
        <x:v>원자료 치수·DSD 코드와 웹 P·H·OB 규격의 동일성 미확인</x:v>
      </x:c>
      <x:c r="R96" s="65" t="n">
        <x:f>K96</x:f>
        <x:v>14</x:v>
      </x:c>
      <x:c r="S96" s="68" t="n">
        <x:f>MAX(0,MIN(1,($B$15-I96+1)/(J96-I96+1)))</x:f>
        <x:v>0</x:v>
      </x:c>
      <x:c r="T96" s="72" t="str">
        <x:f>IF(ISNUMBER(O96),IF(R96&lt;=$B$15,O96,0),"미산정")</x:f>
        <x:v>미산정</x:v>
      </x:c>
      <x:c r="U96" s="72" t="str">
        <x:f>IF(ISNUMBER(O96),MIN(T96,ROUND(O96*S96,0)),"미산정")</x:f>
        <x:v>미산정</x:v>
      </x:c>
      <x:c r="V96" s="72" t="str">
        <x:f>IF(ISNUMBER(O96),T96-U96,"미산정")</x:f>
        <x:v>미산정</x:v>
      </x:c>
      <x:c r="W96" s="72" t="str">
        <x:f>IF(ISNUMBER(O96),O96-T96,"미산정")</x:f>
        <x:v>미산정</x:v>
      </x:c>
      <x:c r="X96" s="72" t="str">
        <x:f>IF(ISNUMBER(O96),O96-U96,"미산정")</x:f>
        <x:v>미산정</x:v>
      </x:c>
    </x:row>
    <x:row r="97" ht="44" customHeight="1">
      <x:c r="A97" s="24" t="n">
        <x:v>87</x:v>
      </x:c>
      <x:c r="B97" s="24" t="str">
        <x:v>104동</x:v>
      </x:c>
      <x:c r="C97" s="13" t="str">
        <x:v>시스템동바리 조립</x:v>
      </x:c>
      <x:c r="D97" s="13" t="str">
        <x:v>SH-1219</x:v>
      </x:c>
      <x:c r="E97" s="13" t="str">
        <x:v>수평재</x:v>
      </x:c>
      <x:c r="F97" s="13" t="str">
        <x:v>Ø42.7 / 호칭 L=1,219mm</x:v>
      </x:c>
      <x:c r="G97" s="13" t="str">
        <x:v>본</x:v>
      </x:c>
      <x:c r="H97" s="17" t="n">
        <x:v>4180</x:v>
      </x:c>
      <x:c r="I97" s="26" t="n">
        <x:v>15</x:v>
      </x:c>
      <x:c r="J97" s="26" t="n">
        <x:v>17</x:v>
      </x:c>
      <x:c r="K97" s="26" t="n">
        <x:v>14</x:v>
      </x:c>
      <x:c r="L97" s="13" t="str">
        <x:v>미등록</x:v>
      </x:c>
      <x:c r="M97" s="13" t="str">
        <x:v>미산정</x:v>
      </x:c>
      <x:c r="N97" s="28" t="str">
        <x:v>미산정</x:v>
      </x:c>
      <x:c r="O97" s="31" t="str">
        <x:f>IF(AND(N97="반영",ISNUMBER(H97)),H97,"미산정")</x:f>
        <x:v>미산정</x:v>
      </x:c>
      <x:c r="P97" s="28" t="str">
        <x:v>해당 없음</x:v>
      </x:c>
      <x:c r="Q97" s="14" t="str">
        <x:v>원자료 치수·DSD 코드와 웹 P·H·OB 규격의 동일성 미확인</x:v>
      </x:c>
      <x:c r="R97" s="65" t="n">
        <x:f>K97</x:f>
        <x:v>14</x:v>
      </x:c>
      <x:c r="S97" s="67" t="n">
        <x:f>MAX(0,MIN(1,($B$15-I97+1)/(J97-I97+1)))</x:f>
        <x:v>0</x:v>
      </x:c>
      <x:c r="T97" s="71" t="str">
        <x:f>IF(ISNUMBER(O97),IF(R97&lt;=$B$15,O97,0),"미산정")</x:f>
        <x:v>미산정</x:v>
      </x:c>
      <x:c r="U97" s="71" t="str">
        <x:f>IF(ISNUMBER(O97),MIN(T97,ROUND(O97*S97,0)),"미산정")</x:f>
        <x:v>미산정</x:v>
      </x:c>
      <x:c r="V97" s="71" t="str">
        <x:f>IF(ISNUMBER(O97),T97-U97,"미산정")</x:f>
        <x:v>미산정</x:v>
      </x:c>
      <x:c r="W97" s="71" t="str">
        <x:f>IF(ISNUMBER(O97),O97-T97,"미산정")</x:f>
        <x:v>미산정</x:v>
      </x:c>
      <x:c r="X97" s="71" t="str">
        <x:f>IF(ISNUMBER(O97),O97-U97,"미산정")</x:f>
        <x:v>미산정</x:v>
      </x:c>
    </x:row>
    <x:row r="98" ht="44" customHeight="1">
      <x:c r="A98" s="25" t="n">
        <x:v>88</x:v>
      </x:c>
      <x:c r="B98" s="25" t="str">
        <x:v>104동</x:v>
      </x:c>
      <x:c r="C98" s="6" t="str">
        <x:v>시스템동바리 조립</x:v>
      </x:c>
      <x:c r="D98" s="6" t="str">
        <x:v>SB-1712</x:v>
      </x:c>
      <x:c r="E98" s="6" t="str">
        <x:v>가새재</x:v>
      </x:c>
      <x:c r="F98" s="6" t="str">
        <x:v>DSD-1712 / L=1,974mm</x:v>
      </x:c>
      <x:c r="G98" s="6" t="str">
        <x:v>본</x:v>
      </x:c>
      <x:c r="H98" s="18" t="n">
        <x:v>438</x:v>
      </x:c>
      <x:c r="I98" s="27" t="n">
        <x:v>15</x:v>
      </x:c>
      <x:c r="J98" s="27" t="n">
        <x:v>17</x:v>
      </x:c>
      <x:c r="K98" s="27" t="n">
        <x:v>14</x:v>
      </x:c>
      <x:c r="L98" s="6" t="str">
        <x:v>미등록</x:v>
      </x:c>
      <x:c r="M98" s="6" t="str">
        <x:v>미산정</x:v>
      </x:c>
      <x:c r="N98" s="28" t="str">
        <x:v>미산정</x:v>
      </x:c>
      <x:c r="O98" s="31" t="str">
        <x:f>IF(AND(N98="반영",ISNUMBER(H98)),H98,"미산정")</x:f>
        <x:v>미산정</x:v>
      </x:c>
      <x:c r="P98" s="28" t="str">
        <x:v>해당 없음</x:v>
      </x:c>
      <x:c r="Q98" s="14" t="str">
        <x:v>원자료 치수·DSD 코드와 웹 P·H·OB 규격의 동일성 미확인</x:v>
      </x:c>
      <x:c r="R98" s="65" t="n">
        <x:f>K98</x:f>
        <x:v>14</x:v>
      </x:c>
      <x:c r="S98" s="68" t="n">
        <x:f>MAX(0,MIN(1,($B$15-I98+1)/(J98-I98+1)))</x:f>
        <x:v>0</x:v>
      </x:c>
      <x:c r="T98" s="72" t="str">
        <x:f>IF(ISNUMBER(O98),IF(R98&lt;=$B$15,O98,0),"미산정")</x:f>
        <x:v>미산정</x:v>
      </x:c>
      <x:c r="U98" s="72" t="str">
        <x:f>IF(ISNUMBER(O98),MIN(T98,ROUND(O98*S98,0)),"미산정")</x:f>
        <x:v>미산정</x:v>
      </x:c>
      <x:c r="V98" s="72" t="str">
        <x:f>IF(ISNUMBER(O98),T98-U98,"미산정")</x:f>
        <x:v>미산정</x:v>
      </x:c>
      <x:c r="W98" s="72" t="str">
        <x:f>IF(ISNUMBER(O98),O98-T98,"미산정")</x:f>
        <x:v>미산정</x:v>
      </x:c>
      <x:c r="X98" s="72" t="str">
        <x:f>IF(ISNUMBER(O98),O98-U98,"미산정")</x:f>
        <x:v>미산정</x:v>
      </x:c>
    </x:row>
    <x:row r="99" ht="44" customHeight="1">
      <x:c r="A99" s="24" t="n">
        <x:v>89</x:v>
      </x:c>
      <x:c r="B99" s="24" t="str">
        <x:v>104동</x:v>
      </x:c>
      <x:c r="C99" s="13" t="str">
        <x:v>시스템동바리 조립</x:v>
      </x:c>
      <x:c r="D99" s="13" t="str">
        <x:v>SB-1212</x:v>
      </x:c>
      <x:c r="E99" s="13" t="str">
        <x:v>가새재</x:v>
      </x:c>
      <x:c r="F99" s="13" t="str">
        <x:v>DSD-1212 / L=1,609mm</x:v>
      </x:c>
      <x:c r="G99" s="13" t="str">
        <x:v>본</x:v>
      </x:c>
      <x:c r="H99" s="17" t="n">
        <x:v>87</x:v>
      </x:c>
      <x:c r="I99" s="26" t="n">
        <x:v>15</x:v>
      </x:c>
      <x:c r="J99" s="26" t="n">
        <x:v>17</x:v>
      </x:c>
      <x:c r="K99" s="26" t="n">
        <x:v>14</x:v>
      </x:c>
      <x:c r="L99" s="13" t="str">
        <x:v>미등록</x:v>
      </x:c>
      <x:c r="M99" s="13" t="str">
        <x:v>미산정</x:v>
      </x:c>
      <x:c r="N99" s="28" t="str">
        <x:v>미산정</x:v>
      </x:c>
      <x:c r="O99" s="31" t="str">
        <x:f>IF(AND(N99="반영",ISNUMBER(H99)),H99,"미산정")</x:f>
        <x:v>미산정</x:v>
      </x:c>
      <x:c r="P99" s="28" t="str">
        <x:v>해당 없음</x:v>
      </x:c>
      <x:c r="Q99" s="14" t="str">
        <x:v>원자료 치수·DSD 코드와 웹 P·H·OB 규격의 동일성 미확인</x:v>
      </x:c>
      <x:c r="R99" s="65" t="n">
        <x:f>K99</x:f>
        <x:v>14</x:v>
      </x:c>
      <x:c r="S99" s="67" t="n">
        <x:f>MAX(0,MIN(1,($B$15-I99+1)/(J99-I99+1)))</x:f>
        <x:v>0</x:v>
      </x:c>
      <x:c r="T99" s="71" t="str">
        <x:f>IF(ISNUMBER(O99),IF(R99&lt;=$B$15,O99,0),"미산정")</x:f>
        <x:v>미산정</x:v>
      </x:c>
      <x:c r="U99" s="71" t="str">
        <x:f>IF(ISNUMBER(O99),MIN(T99,ROUND(O99*S99,0)),"미산정")</x:f>
        <x:v>미산정</x:v>
      </x:c>
      <x:c r="V99" s="71" t="str">
        <x:f>IF(ISNUMBER(O99),T99-U99,"미산정")</x:f>
        <x:v>미산정</x:v>
      </x:c>
      <x:c r="W99" s="71" t="str">
        <x:f>IF(ISNUMBER(O99),O99-T99,"미산정")</x:f>
        <x:v>미산정</x:v>
      </x:c>
      <x:c r="X99" s="71" t="str">
        <x:f>IF(ISNUMBER(O99),O99-U99,"미산정")</x:f>
        <x:v>미산정</x:v>
      </x:c>
    </x:row>
    <x:row r="100" ht="44" customHeight="1">
      <x:c r="A100" s="25" t="n">
        <x:v>90</x:v>
      </x:c>
      <x:c r="B100" s="25" t="str">
        <x:v>104동</x:v>
      </x:c>
      <x:c r="C100" s="6" t="str">
        <x:v>시스템동바리 조립</x:v>
      </x:c>
      <x:c r="D100" s="6" t="str">
        <x:v>SB-0812</x:v>
      </x:c>
      <x:c r="E100" s="6" t="str">
        <x:v>가새재</x:v>
      </x:c>
      <x:c r="F100" s="6" t="str">
        <x:v>DSD-0812 / L=1,290mm</x:v>
      </x:c>
      <x:c r="G100" s="6" t="str">
        <x:v>본</x:v>
      </x:c>
      <x:c r="H100" s="18" t="n">
        <x:v>262</x:v>
      </x:c>
      <x:c r="I100" s="27" t="n">
        <x:v>15</x:v>
      </x:c>
      <x:c r="J100" s="27" t="n">
        <x:v>17</x:v>
      </x:c>
      <x:c r="K100" s="27" t="n">
        <x:v>14</x:v>
      </x:c>
      <x:c r="L100" s="6" t="str">
        <x:v>미등록</x:v>
      </x:c>
      <x:c r="M100" s="6" t="str">
        <x:v>미산정</x:v>
      </x:c>
      <x:c r="N100" s="28" t="str">
        <x:v>미산정</x:v>
      </x:c>
      <x:c r="O100" s="31" t="str">
        <x:f>IF(AND(N100="반영",ISNUMBER(H100)),H100,"미산정")</x:f>
        <x:v>미산정</x:v>
      </x:c>
      <x:c r="P100" s="28" t="str">
        <x:v>해당 없음</x:v>
      </x:c>
      <x:c r="Q100" s="14" t="str">
        <x:v>원자료 치수·DSD 코드와 웹 P·H·OB 규격의 동일성 미확인</x:v>
      </x:c>
      <x:c r="R100" s="65" t="n">
        <x:f>K100</x:f>
        <x:v>14</x:v>
      </x:c>
      <x:c r="S100" s="68" t="n">
        <x:f>MAX(0,MIN(1,($B$15-I100+1)/(J100-I100+1)))</x:f>
        <x:v>0</x:v>
      </x:c>
      <x:c r="T100" s="72" t="str">
        <x:f>IF(ISNUMBER(O100),IF(R100&lt;=$B$15,O100,0),"미산정")</x:f>
        <x:v>미산정</x:v>
      </x:c>
      <x:c r="U100" s="72" t="str">
        <x:f>IF(ISNUMBER(O100),MIN(T100,ROUND(O100*S100,0)),"미산정")</x:f>
        <x:v>미산정</x:v>
      </x:c>
      <x:c r="V100" s="72" t="str">
        <x:f>IF(ISNUMBER(O100),T100-U100,"미산정")</x:f>
        <x:v>미산정</x:v>
      </x:c>
      <x:c r="W100" s="72" t="str">
        <x:f>IF(ISNUMBER(O100),O100-T100,"미산정")</x:f>
        <x:v>미산정</x:v>
      </x:c>
      <x:c r="X100" s="72" t="str">
        <x:f>IF(ISNUMBER(O100),O100-U100,"미산정")</x:f>
        <x:v>미산정</x:v>
      </x:c>
    </x:row>
    <x:row r="101" ht="44" customHeight="1">
      <x:c r="A101" s="24" t="n">
        <x:v>91</x:v>
      </x:c>
      <x:c r="B101" s="24" t="str">
        <x:v>104동</x:v>
      </x:c>
      <x:c r="C101" s="13" t="str">
        <x:v>시스템동바리 조립</x:v>
      </x:c>
      <x:c r="D101" s="13" t="str">
        <x:v>UJ-600</x:v>
      </x:c>
      <x:c r="E101" s="13" t="str">
        <x:v>U헤드 잭</x:v>
      </x:c>
      <x:c r="F101" s="13" t="str">
        <x:v>Ø45 / L=600mm</x:v>
      </x:c>
      <x:c r="G101" s="13" t="str">
        <x:v>개</x:v>
      </x:c>
      <x:c r="H101" s="17" t="n">
        <x:v>546</x:v>
      </x:c>
      <x:c r="I101" s="26" t="n">
        <x:v>15</x:v>
      </x:c>
      <x:c r="J101" s="26" t="n">
        <x:v>17</x:v>
      </x:c>
      <x:c r="K101" s="26" t="n">
        <x:v>14</x:v>
      </x:c>
      <x:c r="L101" s="13" t="str">
        <x:v>시스템서포트</x:v>
      </x:c>
      <x:c r="M101" s="13" t="str">
        <x:v>동바리 상부자키</x:v>
      </x:c>
      <x:c r="N101" s="24" t="str">
        <x:v>반영</x:v>
      </x:c>
      <x:c r="O101" s="29" t="n">
        <x:f>IF(AND(N101="반영",ISNUMBER(H101)),H101,"미산정")</x:f>
        <x:v>546</x:v>
      </x:c>
      <x:c r="P101" s="24" t="str">
        <x:v>해당 없음</x:v>
      </x:c>
      <x:c r="Q101" s="13" t="str">
        <x:v>U헤드 잭 → 등록된 동바리 상부자키. 원자료 치수 별도 보존</x:v>
      </x:c>
      <x:c r="R101" s="66" t="n">
        <x:v>9</x:v>
      </x:c>
      <x:c r="S101" s="67" t="n">
        <x:f>MAX(0,MIN(1,($B$15-I101+1)/(J101-I101+1)))</x:f>
        <x:v>0</x:v>
      </x:c>
      <x:c r="T101" s="71" t="n">
        <x:f>IF(ISNUMBER(O101),IF(R101&lt;=$B$15,O101,0),"미산정")</x:f>
        <x:v>546</x:v>
      </x:c>
      <x:c r="U101" s="71" t="n">
        <x:f>IF(ISNUMBER(O101),MIN(T101,ROUND(O101*S101,0)),"미산정")</x:f>
        <x:v>0</x:v>
      </x:c>
      <x:c r="V101" s="71" t="n">
        <x:f>IF(ISNUMBER(O101),T101-U101,"미산정")</x:f>
        <x:v>546</x:v>
      </x:c>
      <x:c r="W101" s="71" t="n">
        <x:f>IF(ISNUMBER(O101),O101-T101,"미산정")</x:f>
        <x:v>0</x:v>
      </x:c>
      <x:c r="X101" s="71" t="n">
        <x:f>IF(ISNUMBER(O101),O101-U101,"미산정")</x:f>
        <x:v>546</x:v>
      </x:c>
    </x:row>
    <x:row r="102" ht="44" customHeight="1">
      <x:c r="A102" s="25" t="n">
        <x:v>92</x:v>
      </x:c>
      <x:c r="B102" s="25" t="str">
        <x:v>104동</x:v>
      </x:c>
      <x:c r="C102" s="6" t="str">
        <x:v>시스템동바리 조립</x:v>
      </x:c>
      <x:c r="D102" s="6" t="str">
        <x:v>BJ-600</x:v>
      </x:c>
      <x:c r="E102" s="6" t="str">
        <x:v>베이스 잭</x:v>
      </x:c>
      <x:c r="F102" s="6" t="str">
        <x:v>Ø45 / L=600mm</x:v>
      </x:c>
      <x:c r="G102" s="6" t="str">
        <x:v>개</x:v>
      </x:c>
      <x:c r="H102" s="18" t="n">
        <x:v>546</x:v>
      </x:c>
      <x:c r="I102" s="27" t="n">
        <x:v>15</x:v>
      </x:c>
      <x:c r="J102" s="27" t="n">
        <x:v>17</x:v>
      </x:c>
      <x:c r="K102" s="27" t="n">
        <x:v>14</x:v>
      </x:c>
      <x:c r="L102" s="6" t="str">
        <x:v>시스템서포트</x:v>
      </x:c>
      <x:c r="M102" s="6" t="str">
        <x:v>동바리 하부자키</x:v>
      </x:c>
      <x:c r="N102" s="25" t="str">
        <x:v>반영</x:v>
      </x:c>
      <x:c r="O102" s="30" t="n">
        <x:f>IF(AND(N102="반영",ISNUMBER(H102)),H102,"미산정")</x:f>
        <x:v>546</x:v>
      </x:c>
      <x:c r="P102" s="25" t="str">
        <x:v>해당 없음</x:v>
      </x:c>
      <x:c r="Q102" s="6" t="str">
        <x:v>베이스 잭 → 등록된 동바리 하부자키. 원자료 치수 별도 보존</x:v>
      </x:c>
      <x:c r="R102" s="66" t="n">
        <x:v>9</x:v>
      </x:c>
      <x:c r="S102" s="68" t="n">
        <x:f>MAX(0,MIN(1,($B$15-I102+1)/(J102-I102+1)))</x:f>
        <x:v>0</x:v>
      </x:c>
      <x:c r="T102" s="72" t="n">
        <x:f>IF(ISNUMBER(O102),IF(R102&lt;=$B$15,O102,0),"미산정")</x:f>
        <x:v>546</x:v>
      </x:c>
      <x:c r="U102" s="72" t="n">
        <x:f>IF(ISNUMBER(O102),MIN(T102,ROUND(O102*S102,0)),"미산정")</x:f>
        <x:v>0</x:v>
      </x:c>
      <x:c r="V102" s="72" t="n">
        <x:f>IF(ISNUMBER(O102),T102-U102,"미산정")</x:f>
        <x:v>546</x:v>
      </x:c>
      <x:c r="W102" s="72" t="n">
        <x:f>IF(ISNUMBER(O102),O102-T102,"미산정")</x:f>
        <x:v>0</x:v>
      </x:c>
      <x:c r="X102" s="72" t="n">
        <x:f>IF(ISNUMBER(O102),O102-U102,"미산정")</x:f>
        <x:v>546</x:v>
      </x:c>
    </x:row>
    <x:row r="103" ht="44" customHeight="1">
      <x:c r="A103" s="24" t="n">
        <x:v>93</x:v>
      </x:c>
      <x:c r="B103" s="24" t="str">
        <x:v>104동</x:v>
      </x:c>
      <x:c r="C103" s="13" t="str">
        <x:v>시스템동바리 조립</x:v>
      </x:c>
      <x:c r="D103" s="13" t="str">
        <x:v>CP-120</x:v>
      </x:c>
      <x:c r="E103" s="13" t="str">
        <x:v>연결 카프링</x:v>
      </x:c>
      <x:c r="F103" s="13" t="str">
        <x:v>Ø60.5 / L=120mm</x:v>
      </x:c>
      <x:c r="G103" s="13" t="str">
        <x:v>개</x:v>
      </x:c>
      <x:c r="H103" s="17" t="n">
        <x:v>1092</x:v>
      </x:c>
      <x:c r="I103" s="26" t="n">
        <x:v>15</x:v>
      </x:c>
      <x:c r="J103" s="26" t="n">
        <x:v>17</x:v>
      </x:c>
      <x:c r="K103" s="26" t="n">
        <x:v>14</x:v>
      </x:c>
      <x:c r="L103" s="13" t="str">
        <x:v>시스템서포트</x:v>
      </x:c>
      <x:c r="M103" s="13" t="str">
        <x:v>카플링(소켓)</x:v>
      </x:c>
      <x:c r="N103" s="24" t="str">
        <x:v>반영</x:v>
      </x:c>
      <x:c r="O103" s="29" t="n">
        <x:f>IF(AND(N103="반영",ISNUMBER(H103)),H103,"미산정")</x:f>
        <x:v>1092</x:v>
      </x:c>
      <x:c r="P103" s="24" t="str">
        <x:v>해당 없음</x:v>
      </x:c>
      <x:c r="Q103" s="13" t="str">
        <x:v>연결 카플링 → 등록된 카플링(소켓). 원자료 치수 별도 보존</x:v>
      </x:c>
      <x:c r="R103" s="66" t="n">
        <x:v>9</x:v>
      </x:c>
      <x:c r="S103" s="67" t="n">
        <x:f>MAX(0,MIN(1,($B$15-I103+1)/(J103-I103+1)))</x:f>
        <x:v>0</x:v>
      </x:c>
      <x:c r="T103" s="71" t="n">
        <x:f>IF(ISNUMBER(O103),IF(R103&lt;=$B$15,O103,0),"미산정")</x:f>
        <x:v>1092</x:v>
      </x:c>
      <x:c r="U103" s="71" t="n">
        <x:f>IF(ISNUMBER(O103),MIN(T103,ROUND(O103*S103,0)),"미산정")</x:f>
        <x:v>0</x:v>
      </x:c>
      <x:c r="V103" s="71" t="n">
        <x:f>IF(ISNUMBER(O103),T103-U103,"미산정")</x:f>
        <x:v>1092</x:v>
      </x:c>
      <x:c r="W103" s="71" t="n">
        <x:f>IF(ISNUMBER(O103),O103-T103,"미산정")</x:f>
        <x:v>0</x:v>
      </x:c>
      <x:c r="X103" s="71" t="n">
        <x:f>IF(ISNUMBER(O103),O103-U103,"미산정")</x:f>
        <x:v>1092</x:v>
      </x:c>
    </x:row>
    <x:row r="104" ht="44" customHeight="1">
      <x:c r="A104" s="25" t="n">
        <x:v>94</x:v>
      </x:c>
      <x:c r="B104" s="25" t="str">
        <x:v>104동</x:v>
      </x:c>
      <x:c r="C104" s="6" t="str">
        <x:v>보·슬래브 거푸집</x:v>
      </x:c>
      <x:c r="D104" s="6" t="str">
        <x:v>PW-1224</x:v>
      </x:c>
      <x:c r="E104" s="6" t="str">
        <x:v>코팅합판</x:v>
      </x:c>
      <x:c r="F104" s="6" t="str">
        <x:v>1,220×2,440×12mm</x:v>
      </x:c>
      <x:c r="G104" s="6" t="str">
        <x:v>장</x:v>
      </x:c>
      <x:c r="H104" s="18" t="n">
        <x:v>355</x:v>
      </x:c>
      <x:c r="I104" s="27" t="n">
        <x:v>18</x:v>
      </x:c>
      <x:c r="J104" s="27" t="n">
        <x:v>21</x:v>
      </x:c>
      <x:c r="K104" s="27" t="n">
        <x:v>17</x:v>
      </x:c>
      <x:c r="L104" s="6" t="str">
        <x:v>미등록</x:v>
      </x:c>
      <x:c r="M104" s="6" t="str">
        <x:v>미산정</x:v>
      </x:c>
      <x:c r="N104" s="28" t="str">
        <x:v>미산정</x:v>
      </x:c>
      <x:c r="O104" s="31" t="str">
        <x:f>IF(AND(N104="반영",ISNUMBER(H104)),H104,"미산정")</x:f>
        <x:v>미산정</x:v>
      </x:c>
      <x:c r="P104" s="28" t="str">
        <x:v>해당 없음</x:v>
      </x:c>
      <x:c r="Q104" s="14" t="str">
        <x:v>현재 웹 등록 품목에 없음. 다른 품목으로 대체하지 않음</x:v>
      </x:c>
      <x:c r="R104" s="65" t="n">
        <x:f>K104</x:f>
        <x:v>17</x:v>
      </x:c>
      <x:c r="S104" s="68" t="n">
        <x:f>MAX(0,MIN(1,($B$15-I104+1)/(J104-I104+1)))</x:f>
        <x:v>0</x:v>
      </x:c>
      <x:c r="T104" s="72" t="str">
        <x:f>IF(ISNUMBER(O104),IF(R104&lt;=$B$15,O104,0),"미산정")</x:f>
        <x:v>미산정</x:v>
      </x:c>
      <x:c r="U104" s="72" t="str">
        <x:f>IF(ISNUMBER(O104),MIN(T104,ROUND(O104*S104,0)),"미산정")</x:f>
        <x:v>미산정</x:v>
      </x:c>
      <x:c r="V104" s="72" t="str">
        <x:f>IF(ISNUMBER(O104),T104-U104,"미산정")</x:f>
        <x:v>미산정</x:v>
      </x:c>
      <x:c r="W104" s="72" t="str">
        <x:f>IF(ISNUMBER(O104),O104-T104,"미산정")</x:f>
        <x:v>미산정</x:v>
      </x:c>
      <x:c r="X104" s="72" t="str">
        <x:f>IF(ISNUMBER(O104),O104-U104,"미산정")</x:f>
        <x:v>미산정</x:v>
      </x:c>
    </x:row>
    <x:row r="105" ht="44" customHeight="1">
      <x:c r="A105" s="24" t="n">
        <x:v>95</x:v>
      </x:c>
      <x:c r="B105" s="24" t="str">
        <x:v>104동</x:v>
      </x:c>
      <x:c r="C105" s="13" t="str">
        <x:v>보·슬래브 거푸집</x:v>
      </x:c>
      <x:c r="D105" s="13" t="str">
        <x:v>JO-4000</x:v>
      </x:c>
      <x:c r="E105" s="13" t="str">
        <x:v>각관 장선</x:v>
      </x:c>
      <x:c r="F105" s="13" t="str">
        <x:v>50×50×2.3mm / L=4,000mm</x:v>
      </x:c>
      <x:c r="G105" s="13" t="str">
        <x:v>본</x:v>
      </x:c>
      <x:c r="H105" s="17" t="n">
        <x:v>660</x:v>
      </x:c>
      <x:c r="I105" s="26" t="n">
        <x:v>18</x:v>
      </x:c>
      <x:c r="J105" s="26" t="n">
        <x:v>21</x:v>
      </x:c>
      <x:c r="K105" s="26" t="n">
        <x:v>17</x:v>
      </x:c>
      <x:c r="L105" s="13" t="str">
        <x:v>미등록</x:v>
      </x:c>
      <x:c r="M105" s="13" t="str">
        <x:v>미산정</x:v>
      </x:c>
      <x:c r="N105" s="28" t="str">
        <x:v>미산정</x:v>
      </x:c>
      <x:c r="O105" s="31" t="str">
        <x:f>IF(AND(N105="반영",ISNUMBER(H105)),H105,"미산정")</x:f>
        <x:v>미산정</x:v>
      </x:c>
      <x:c r="P105" s="28" t="str">
        <x:v>해당 없음</x:v>
      </x:c>
      <x:c r="Q105" s="14" t="str">
        <x:v>현재 웹 등록 품목에 없음. 다른 품목으로 대체하지 않음</x:v>
      </x:c>
      <x:c r="R105" s="65" t="n">
        <x:f>K105</x:f>
        <x:v>17</x:v>
      </x:c>
      <x:c r="S105" s="67" t="n">
        <x:f>MAX(0,MIN(1,($B$15-I105+1)/(J105-I105+1)))</x:f>
        <x:v>0</x:v>
      </x:c>
      <x:c r="T105" s="71" t="str">
        <x:f>IF(ISNUMBER(O105),IF(R105&lt;=$B$15,O105,0),"미산정")</x:f>
        <x:v>미산정</x:v>
      </x:c>
      <x:c r="U105" s="71" t="str">
        <x:f>IF(ISNUMBER(O105),MIN(T105,ROUND(O105*S105,0)),"미산정")</x:f>
        <x:v>미산정</x:v>
      </x:c>
      <x:c r="V105" s="71" t="str">
        <x:f>IF(ISNUMBER(O105),T105-U105,"미산정")</x:f>
        <x:v>미산정</x:v>
      </x:c>
      <x:c r="W105" s="71" t="str">
        <x:f>IF(ISNUMBER(O105),O105-T105,"미산정")</x:f>
        <x:v>미산정</x:v>
      </x:c>
      <x:c r="X105" s="71" t="str">
        <x:f>IF(ISNUMBER(O105),O105-U105,"미산정")</x:f>
        <x:v>미산정</x:v>
      </x:c>
    </x:row>
    <x:row r="106" ht="44" customHeight="1">
      <x:c r="A106" s="25" t="n">
        <x:v>96</x:v>
      </x:c>
      <x:c r="B106" s="25" t="str">
        <x:v>104동</x:v>
      </x:c>
      <x:c r="C106" s="6" t="str">
        <x:v>보·슬래브 거푸집</x:v>
      </x:c>
      <x:c r="D106" s="6" t="str">
        <x:v>BE-3000</x:v>
      </x:c>
      <x:c r="E106" s="6" t="str">
        <x:v>시스템 멍에</x:v>
      </x:c>
      <x:c r="F106" s="6" t="str">
        <x:v>선정 제품 길이 3,000mm</x:v>
      </x:c>
      <x:c r="G106" s="6" t="str">
        <x:v>본</x:v>
      </x:c>
      <x:c r="H106" s="18" t="n">
        <x:v>229</x:v>
      </x:c>
      <x:c r="I106" s="27" t="n">
        <x:v>18</x:v>
      </x:c>
      <x:c r="J106" s="27" t="n">
        <x:v>21</x:v>
      </x:c>
      <x:c r="K106" s="27" t="n">
        <x:v>17</x:v>
      </x:c>
      <x:c r="L106" s="6" t="str">
        <x:v>미등록</x:v>
      </x:c>
      <x:c r="M106" s="6" t="str">
        <x:v>미산정</x:v>
      </x:c>
      <x:c r="N106" s="28" t="str">
        <x:v>미산정</x:v>
      </x:c>
      <x:c r="O106" s="31" t="str">
        <x:f>IF(AND(N106="반영",ISNUMBER(H106)),H106,"미산정")</x:f>
        <x:v>미산정</x:v>
      </x:c>
      <x:c r="P106" s="28" t="str">
        <x:v>해당 없음</x:v>
      </x:c>
      <x:c r="Q106" s="14" t="str">
        <x:v>현재 웹 등록 품목에 없음. 다른 품목으로 대체하지 않음</x:v>
      </x:c>
      <x:c r="R106" s="65" t="n">
        <x:f>K106</x:f>
        <x:v>17</x:v>
      </x:c>
      <x:c r="S106" s="68" t="n">
        <x:f>MAX(0,MIN(1,($B$15-I106+1)/(J106-I106+1)))</x:f>
        <x:v>0</x:v>
      </x:c>
      <x:c r="T106" s="72" t="str">
        <x:f>IF(ISNUMBER(O106),IF(R106&lt;=$B$15,O106,0),"미산정")</x:f>
        <x:v>미산정</x:v>
      </x:c>
      <x:c r="U106" s="72" t="str">
        <x:f>IF(ISNUMBER(O106),MIN(T106,ROUND(O106*S106,0)),"미산정")</x:f>
        <x:v>미산정</x:v>
      </x:c>
      <x:c r="V106" s="72" t="str">
        <x:f>IF(ISNUMBER(O106),T106-U106,"미산정")</x:f>
        <x:v>미산정</x:v>
      </x:c>
      <x:c r="W106" s="72" t="str">
        <x:f>IF(ISNUMBER(O106),O106-T106,"미산정")</x:f>
        <x:v>미산정</x:v>
      </x:c>
      <x:c r="X106" s="72" t="str">
        <x:f>IF(ISNUMBER(O106),O106-U106,"미산정")</x:f>
        <x:v>미산정</x:v>
      </x:c>
    </x:row>
    <x:row r="107" ht="44" customHeight="1">
      <x:c r="A107" s="24" t="n">
        <x:v>97</x:v>
      </x:c>
      <x:c r="B107" s="24" t="str">
        <x:v>104동</x:v>
      </x:c>
      <x:c r="C107" s="13" t="str">
        <x:v>보·슬래브 철근배근</x:v>
      </x:c>
      <x:c r="D107" s="13" t="str">
        <x:v>RB-D10</x:v>
      </x:c>
      <x:c r="E107" s="13" t="str">
        <x:v>철근</x:v>
      </x:c>
      <x:c r="F107" s="13" t="str">
        <x:v>SD500 D10 / 부위별 공장 가공</x:v>
      </x:c>
      <x:c r="G107" s="13" t="str">
        <x:v>kg</x:v>
      </x:c>
      <x:c r="H107" s="17" t="n">
        <x:v>2770</x:v>
      </x:c>
      <x:c r="I107" s="26" t="n">
        <x:v>22</x:v>
      </x:c>
      <x:c r="J107" s="26" t="n">
        <x:v>24</x:v>
      </x:c>
      <x:c r="K107" s="26" t="n">
        <x:v>21</x:v>
      </x:c>
      <x:c r="L107" s="13" t="str">
        <x:v>철근</x:v>
      </x:c>
      <x:c r="M107" s="13" t="str">
        <x:v>D10</x:v>
      </x:c>
      <x:c r="N107" s="24" t="str">
        <x:v>반영</x:v>
      </x:c>
      <x:c r="O107" s="29" t="n">
        <x:f>IF(AND(N107="반영",ISNUMBER(H107)),H107,"미산정")</x:f>
        <x:v>2770</x:v>
      </x:c>
      <x:c r="P107" s="24" t="str">
        <x:v>미제공</x:v>
      </x:c>
      <x:c r="Q107" s="13" t="str">
        <x:v>등록 품목·규격과 일치</x:v>
      </x:c>
      <x:c r="R107" s="66" t="n">
        <x:v>10</x:v>
      </x:c>
      <x:c r="S107" s="67" t="n">
        <x:f>MAX(0,MIN(1,($B$15-I107+1)/(J107-I107+1)))</x:f>
        <x:v>0</x:v>
      </x:c>
      <x:c r="T107" s="71" t="n">
        <x:f>IF(ISNUMBER(O107),IF(R107&lt;=$B$15,O107,0),"미산정")</x:f>
        <x:v>2770</x:v>
      </x:c>
      <x:c r="U107" s="71" t="n">
        <x:f>IF(ISNUMBER(O107),MIN(T107,ROUND(O107*S107,0)),"미산정")</x:f>
        <x:v>0</x:v>
      </x:c>
      <x:c r="V107" s="71" t="n">
        <x:f>IF(ISNUMBER(O107),T107-U107,"미산정")</x:f>
        <x:v>2770</x:v>
      </x:c>
      <x:c r="W107" s="71" t="n">
        <x:f>IF(ISNUMBER(O107),O107-T107,"미산정")</x:f>
        <x:v>0</x:v>
      </x:c>
      <x:c r="X107" s="71" t="n">
        <x:f>IF(ISNUMBER(O107),O107-U107,"미산정")</x:f>
        <x:v>2770</x:v>
      </x:c>
    </x:row>
    <x:row r="108" ht="44" customHeight="1">
      <x:c r="A108" s="25" t="n">
        <x:v>98</x:v>
      </x:c>
      <x:c r="B108" s="25" t="str">
        <x:v>104동</x:v>
      </x:c>
      <x:c r="C108" s="6" t="str">
        <x:v>보·슬래브 철근배근</x:v>
      </x:c>
      <x:c r="D108" s="6" t="str">
        <x:v>RB-D13</x:v>
      </x:c>
      <x:c r="E108" s="6" t="str">
        <x:v>철근</x:v>
      </x:c>
      <x:c r="F108" s="6" t="str">
        <x:v>SD500 D13 / 부위별 공장 가공</x:v>
      </x:c>
      <x:c r="G108" s="6" t="str">
        <x:v>kg</x:v>
      </x:c>
      <x:c r="H108" s="18" t="n">
        <x:v>6910</x:v>
      </x:c>
      <x:c r="I108" s="27" t="n">
        <x:v>22</x:v>
      </x:c>
      <x:c r="J108" s="27" t="n">
        <x:v>24</x:v>
      </x:c>
      <x:c r="K108" s="27" t="n">
        <x:v>21</x:v>
      </x:c>
      <x:c r="L108" s="6" t="str">
        <x:v>철근</x:v>
      </x:c>
      <x:c r="M108" s="6" t="str">
        <x:v>D13</x:v>
      </x:c>
      <x:c r="N108" s="25" t="str">
        <x:v>반영</x:v>
      </x:c>
      <x:c r="O108" s="30" t="n">
        <x:f>IF(AND(N108="반영",ISNUMBER(H108)),H108,"미산정")</x:f>
        <x:v>6910</x:v>
      </x:c>
      <x:c r="P108" s="25" t="str">
        <x:v>미제공</x:v>
      </x:c>
      <x:c r="Q108" s="6" t="str">
        <x:v>등록 품목·규격과 일치</x:v>
      </x:c>
      <x:c r="R108" s="66" t="n">
        <x:v>10</x:v>
      </x:c>
      <x:c r="S108" s="68" t="n">
        <x:f>MAX(0,MIN(1,($B$15-I108+1)/(J108-I108+1)))</x:f>
        <x:v>0</x:v>
      </x:c>
      <x:c r="T108" s="72" t="n">
        <x:f>IF(ISNUMBER(O108),IF(R108&lt;=$B$15,O108,0),"미산정")</x:f>
        <x:v>6910</x:v>
      </x:c>
      <x:c r="U108" s="72" t="n">
        <x:f>IF(ISNUMBER(O108),MIN(T108,ROUND(O108*S108,0)),"미산정")</x:f>
        <x:v>0</x:v>
      </x:c>
      <x:c r="V108" s="72" t="n">
        <x:f>IF(ISNUMBER(O108),T108-U108,"미산정")</x:f>
        <x:v>6910</x:v>
      </x:c>
      <x:c r="W108" s="72" t="n">
        <x:f>IF(ISNUMBER(O108),O108-T108,"미산정")</x:f>
        <x:v>0</x:v>
      </x:c>
      <x:c r="X108" s="72" t="n">
        <x:f>IF(ISNUMBER(O108),O108-U108,"미산정")</x:f>
        <x:v>6910</x:v>
      </x:c>
    </x:row>
    <x:row r="109" ht="44" customHeight="1">
      <x:c r="A109" s="24" t="n">
        <x:v>99</x:v>
      </x:c>
      <x:c r="B109" s="24" t="str">
        <x:v>104동</x:v>
      </x:c>
      <x:c r="C109" s="13" t="str">
        <x:v>보·슬래브 철근배근</x:v>
      </x:c>
      <x:c r="D109" s="13" t="str">
        <x:v>RB-D16</x:v>
      </x:c>
      <x:c r="E109" s="13" t="str">
        <x:v>철근</x:v>
      </x:c>
      <x:c r="F109" s="13" t="str">
        <x:v>SD500 D16 / 부위별 공장 가공</x:v>
      </x:c>
      <x:c r="G109" s="13" t="str">
        <x:v>kg</x:v>
      </x:c>
      <x:c r="H109" s="17" t="n">
        <x:v>5530</x:v>
      </x:c>
      <x:c r="I109" s="26" t="n">
        <x:v>22</x:v>
      </x:c>
      <x:c r="J109" s="26" t="n">
        <x:v>24</x:v>
      </x:c>
      <x:c r="K109" s="26" t="n">
        <x:v>21</x:v>
      </x:c>
      <x:c r="L109" s="13" t="str">
        <x:v>철근</x:v>
      </x:c>
      <x:c r="M109" s="13" t="str">
        <x:v>D16</x:v>
      </x:c>
      <x:c r="N109" s="24" t="str">
        <x:v>반영</x:v>
      </x:c>
      <x:c r="O109" s="29" t="n">
        <x:f>IF(AND(N109="반영",ISNUMBER(H109)),H109,"미산정")</x:f>
        <x:v>5530</x:v>
      </x:c>
      <x:c r="P109" s="24" t="str">
        <x:v>미제공</x:v>
      </x:c>
      <x:c r="Q109" s="13" t="str">
        <x:v>등록 품목·규격과 일치</x:v>
      </x:c>
      <x:c r="R109" s="66" t="n">
        <x:v>10</x:v>
      </x:c>
      <x:c r="S109" s="67" t="n">
        <x:f>MAX(0,MIN(1,($B$15-I109+1)/(J109-I109+1)))</x:f>
        <x:v>0</x:v>
      </x:c>
      <x:c r="T109" s="71" t="n">
        <x:f>IF(ISNUMBER(O109),IF(R109&lt;=$B$15,O109,0),"미산정")</x:f>
        <x:v>5530</x:v>
      </x:c>
      <x:c r="U109" s="71" t="n">
        <x:f>IF(ISNUMBER(O109),MIN(T109,ROUND(O109*S109,0)),"미산정")</x:f>
        <x:v>0</x:v>
      </x:c>
      <x:c r="V109" s="71" t="n">
        <x:f>IF(ISNUMBER(O109),T109-U109,"미산정")</x:f>
        <x:v>5530</x:v>
      </x:c>
      <x:c r="W109" s="71" t="n">
        <x:f>IF(ISNUMBER(O109),O109-T109,"미산정")</x:f>
        <x:v>0</x:v>
      </x:c>
      <x:c r="X109" s="71" t="n">
        <x:f>IF(ISNUMBER(O109),O109-U109,"미산정")</x:f>
        <x:v>5530</x:v>
      </x:c>
    </x:row>
    <x:row r="110" ht="44" customHeight="1">
      <x:c r="A110" s="25" t="n">
        <x:v>100</x:v>
      </x:c>
      <x:c r="B110" s="25" t="str">
        <x:v>104동</x:v>
      </x:c>
      <x:c r="C110" s="6" t="str">
        <x:v>보·슬래브 철근배근</x:v>
      </x:c>
      <x:c r="D110" s="6" t="str">
        <x:v>RB-D19</x:v>
      </x:c>
      <x:c r="E110" s="6" t="str">
        <x:v>철근</x:v>
      </x:c>
      <x:c r="F110" s="6" t="str">
        <x:v>SD500 D19 / 부위별 공장 가공</x:v>
      </x:c>
      <x:c r="G110" s="6" t="str">
        <x:v>kg</x:v>
      </x:c>
      <x:c r="H110" s="18" t="n">
        <x:v>5530</x:v>
      </x:c>
      <x:c r="I110" s="27" t="n">
        <x:v>22</x:v>
      </x:c>
      <x:c r="J110" s="27" t="n">
        <x:v>24</x:v>
      </x:c>
      <x:c r="K110" s="27" t="n">
        <x:v>21</x:v>
      </x:c>
      <x:c r="L110" s="6" t="str">
        <x:v>철근</x:v>
      </x:c>
      <x:c r="M110" s="6" t="str">
        <x:v>D19</x:v>
      </x:c>
      <x:c r="N110" s="25" t="str">
        <x:v>반영</x:v>
      </x:c>
      <x:c r="O110" s="30" t="n">
        <x:f>IF(AND(N110="반영",ISNUMBER(H110)),H110,"미산정")</x:f>
        <x:v>5530</x:v>
      </x:c>
      <x:c r="P110" s="25" t="str">
        <x:v>미제공</x:v>
      </x:c>
      <x:c r="Q110" s="6" t="str">
        <x:v>등록 품목·규격과 일치</x:v>
      </x:c>
      <x:c r="R110" s="66" t="n">
        <x:v>10</x:v>
      </x:c>
      <x:c r="S110" s="68" t="n">
        <x:f>MAX(0,MIN(1,($B$15-I110+1)/(J110-I110+1)))</x:f>
        <x:v>0</x:v>
      </x:c>
      <x:c r="T110" s="72" t="n">
        <x:f>IF(ISNUMBER(O110),IF(R110&lt;=$B$15,O110,0),"미산정")</x:f>
        <x:v>5530</x:v>
      </x:c>
      <x:c r="U110" s="72" t="n">
        <x:f>IF(ISNUMBER(O110),MIN(T110,ROUND(O110*S110,0)),"미산정")</x:f>
        <x:v>0</x:v>
      </x:c>
      <x:c r="V110" s="72" t="n">
        <x:f>IF(ISNUMBER(O110),T110-U110,"미산정")</x:f>
        <x:v>5530</x:v>
      </x:c>
      <x:c r="W110" s="72" t="n">
        <x:f>IF(ISNUMBER(O110),O110-T110,"미산정")</x:f>
        <x:v>0</x:v>
      </x:c>
      <x:c r="X110" s="72" t="n">
        <x:f>IF(ISNUMBER(O110),O110-U110,"미산정")</x:f>
        <x:v>5530</x:v>
      </x:c>
    </x:row>
    <x:row r="111" ht="44" customHeight="1">
      <x:c r="A111" s="24" t="n">
        <x:v>101</x:v>
      </x:c>
      <x:c r="B111" s="24" t="str">
        <x:v>104동</x:v>
      </x:c>
      <x:c r="C111" s="13" t="str">
        <x:v>보·슬래브 철근배근</x:v>
      </x:c>
      <x:c r="D111" s="13" t="str">
        <x:v>RB-D22</x:v>
      </x:c>
      <x:c r="E111" s="13" t="str">
        <x:v>철근</x:v>
      </x:c>
      <x:c r="F111" s="13" t="str">
        <x:v>SD500 D22 / 부위별 공장 가공</x:v>
      </x:c>
      <x:c r="G111" s="13" t="str">
        <x:v>kg</x:v>
      </x:c>
      <x:c r="H111" s="17" t="n">
        <x:v>4140</x:v>
      </x:c>
      <x:c r="I111" s="26" t="n">
        <x:v>22</x:v>
      </x:c>
      <x:c r="J111" s="26" t="n">
        <x:v>24</x:v>
      </x:c>
      <x:c r="K111" s="26" t="n">
        <x:v>21</x:v>
      </x:c>
      <x:c r="L111" s="13" t="str">
        <x:v>철근</x:v>
      </x:c>
      <x:c r="M111" s="13" t="str">
        <x:v>D22</x:v>
      </x:c>
      <x:c r="N111" s="24" t="str">
        <x:v>반영</x:v>
      </x:c>
      <x:c r="O111" s="29" t="n">
        <x:f>IF(AND(N111="반영",ISNUMBER(H111)),H111,"미산정")</x:f>
        <x:v>4140</x:v>
      </x:c>
      <x:c r="P111" s="24" t="str">
        <x:v>미제공</x:v>
      </x:c>
      <x:c r="Q111" s="13" t="str">
        <x:v>등록 품목·규격과 일치</x:v>
      </x:c>
      <x:c r="R111" s="66" t="n">
        <x:v>10</x:v>
      </x:c>
      <x:c r="S111" s="67" t="n">
        <x:f>MAX(0,MIN(1,($B$15-I111+1)/(J111-I111+1)))</x:f>
        <x:v>0</x:v>
      </x:c>
      <x:c r="T111" s="71" t="n">
        <x:f>IF(ISNUMBER(O111),IF(R111&lt;=$B$15,O111,0),"미산정")</x:f>
        <x:v>4140</x:v>
      </x:c>
      <x:c r="U111" s="71" t="n">
        <x:f>IF(ISNUMBER(O111),MIN(T111,ROUND(O111*S111,0)),"미산정")</x:f>
        <x:v>0</x:v>
      </x:c>
      <x:c r="V111" s="71" t="n">
        <x:f>IF(ISNUMBER(O111),T111-U111,"미산정")</x:f>
        <x:v>4140</x:v>
      </x:c>
      <x:c r="W111" s="71" t="n">
        <x:f>IF(ISNUMBER(O111),O111-T111,"미산정")</x:f>
        <x:v>0</x:v>
      </x:c>
      <x:c r="X111" s="71" t="n">
        <x:f>IF(ISNUMBER(O111),O111-U111,"미산정")</x:f>
        <x:v>4140</x:v>
      </x:c>
    </x:row>
    <x:row r="112" ht="44" customHeight="1">
      <x:c r="A112" s="25" t="n">
        <x:v>102</x:v>
      </x:c>
      <x:c r="B112" s="25" t="str">
        <x:v>104동</x:v>
      </x:c>
      <x:c r="C112" s="6" t="str">
        <x:v>보·슬래브 철근배근</x:v>
      </x:c>
      <x:c r="D112" s="6" t="str">
        <x:v>RB-D25</x:v>
      </x:c>
      <x:c r="E112" s="6" t="str">
        <x:v>철근</x:v>
      </x:c>
      <x:c r="F112" s="6" t="str">
        <x:v>SD500 D25 / 부위별 공장 가공</x:v>
      </x:c>
      <x:c r="G112" s="6" t="str">
        <x:v>kg</x:v>
      </x:c>
      <x:c r="H112" s="18" t="n">
        <x:v>2770</x:v>
      </x:c>
      <x:c r="I112" s="27" t="n">
        <x:v>22</x:v>
      </x:c>
      <x:c r="J112" s="27" t="n">
        <x:v>24</x:v>
      </x:c>
      <x:c r="K112" s="27" t="n">
        <x:v>21</x:v>
      </x:c>
      <x:c r="L112" s="6" t="str">
        <x:v>철근</x:v>
      </x:c>
      <x:c r="M112" s="6" t="str">
        <x:v>D25</x:v>
      </x:c>
      <x:c r="N112" s="25" t="str">
        <x:v>반영</x:v>
      </x:c>
      <x:c r="O112" s="30" t="n">
        <x:f>IF(AND(N112="반영",ISNUMBER(H112)),H112,"미산정")</x:f>
        <x:v>2770</x:v>
      </x:c>
      <x:c r="P112" s="25" t="str">
        <x:v>미제공</x:v>
      </x:c>
      <x:c r="Q112" s="6" t="str">
        <x:v>등록 품목·규격과 일치</x:v>
      </x:c>
      <x:c r="R112" s="66" t="n">
        <x:v>10</x:v>
      </x:c>
      <x:c r="S112" s="68" t="n">
        <x:f>MAX(0,MIN(1,($B$15-I112+1)/(J112-I112+1)))</x:f>
        <x:v>0</x:v>
      </x:c>
      <x:c r="T112" s="72" t="n">
        <x:f>IF(ISNUMBER(O112),IF(R112&lt;=$B$15,O112,0),"미산정")</x:f>
        <x:v>2770</x:v>
      </x:c>
      <x:c r="U112" s="72" t="n">
        <x:f>IF(ISNUMBER(O112),MIN(T112,ROUND(O112*S112,0)),"미산정")</x:f>
        <x:v>0</x:v>
      </x:c>
      <x:c r="V112" s="72" t="n">
        <x:f>IF(ISNUMBER(O112),T112-U112,"미산정")</x:f>
        <x:v>2770</x:v>
      </x:c>
      <x:c r="W112" s="72" t="n">
        <x:f>IF(ISNUMBER(O112),O112-T112,"미산정")</x:f>
        <x:v>0</x:v>
      </x:c>
      <x:c r="X112" s="72" t="n">
        <x:f>IF(ISNUMBER(O112),O112-U112,"미산정")</x:f>
        <x:v>2770</x:v>
      </x:c>
    </x:row>
    <x:row r="113" ht="44" customHeight="1">
      <x:c r="A113" s="24" t="n">
        <x:v>103</x:v>
      </x:c>
      <x:c r="B113" s="24" t="str">
        <x:v>105동</x:v>
      </x:c>
      <x:c r="C113" s="13" t="str">
        <x:v>벽체·기둥 철근배근</x:v>
      </x:c>
      <x:c r="D113" s="13" t="str">
        <x:v>RB-D10</x:v>
      </x:c>
      <x:c r="E113" s="13" t="str">
        <x:v>철근</x:v>
      </x:c>
      <x:c r="F113" s="13" t="str">
        <x:v>SD500 D10 / 부위별 공장 가공</x:v>
      </x:c>
      <x:c r="G113" s="13" t="str">
        <x:v>kg</x:v>
      </x:c>
      <x:c r="H113" s="17" t="n">
        <x:v>2000</x:v>
      </x:c>
      <x:c r="I113" s="26" t="n">
        <x:v>8</x:v>
      </x:c>
      <x:c r="J113" s="26" t="n">
        <x:v>12</x:v>
      </x:c>
      <x:c r="K113" s="26" t="n">
        <x:v>7</x:v>
      </x:c>
      <x:c r="L113" s="13" t="str">
        <x:v>철근</x:v>
      </x:c>
      <x:c r="M113" s="13" t="str">
        <x:v>D10</x:v>
      </x:c>
      <x:c r="N113" s="24" t="str">
        <x:v>반영</x:v>
      </x:c>
      <x:c r="O113" s="29" t="n">
        <x:f>IF(AND(N113="반영",ISNUMBER(H113)),H113,"미산정")</x:f>
        <x:v>2000</x:v>
      </x:c>
      <x:c r="P113" s="24" t="str">
        <x:v>미제공</x:v>
      </x:c>
      <x:c r="Q113" s="13" t="str">
        <x:v>등록 품목·규격과 일치</x:v>
      </x:c>
      <x:c r="R113" s="65" t="n">
        <x:f>K113</x:f>
        <x:v>7</x:v>
      </x:c>
      <x:c r="S113" s="67" t="n">
        <x:f>MAX(0,MIN(1,($B$15-I113+1)/(J113-I113+1)))</x:f>
        <x:v>0.6</x:v>
      </x:c>
      <x:c r="T113" s="71" t="n">
        <x:f>IF(ISNUMBER(O113),IF(R113&lt;=$B$15,O113,0),"미산정")</x:f>
        <x:v>2000</x:v>
      </x:c>
      <x:c r="U113" s="71" t="n">
        <x:f>IF(ISNUMBER(O113),MIN(T113,ROUND(O113*S113,0)),"미산정")</x:f>
        <x:v>1200</x:v>
      </x:c>
      <x:c r="V113" s="71" t="n">
        <x:f>IF(ISNUMBER(O113),T113-U113,"미산정")</x:f>
        <x:v>800</x:v>
      </x:c>
      <x:c r="W113" s="71" t="n">
        <x:f>IF(ISNUMBER(O113),O113-T113,"미산정")</x:f>
        <x:v>0</x:v>
      </x:c>
      <x:c r="X113" s="71" t="n">
        <x:f>IF(ISNUMBER(O113),O113-U113,"미산정")</x:f>
        <x:v>800</x:v>
      </x:c>
    </x:row>
    <x:row r="114" ht="44" customHeight="1">
      <x:c r="A114" s="25" t="n">
        <x:v>104</x:v>
      </x:c>
      <x:c r="B114" s="25" t="str">
        <x:v>105동</x:v>
      </x:c>
      <x:c r="C114" s="6" t="str">
        <x:v>벽체·기둥 철근배근</x:v>
      </x:c>
      <x:c r="D114" s="6" t="str">
        <x:v>RB-D13</x:v>
      </x:c>
      <x:c r="E114" s="6" t="str">
        <x:v>철근</x:v>
      </x:c>
      <x:c r="F114" s="6" t="str">
        <x:v>SD500 D13 / 부위별 공장 가공</x:v>
      </x:c>
      <x:c r="G114" s="6" t="str">
        <x:v>kg</x:v>
      </x:c>
      <x:c r="H114" s="18" t="n">
        <x:v>2990</x:v>
      </x:c>
      <x:c r="I114" s="27" t="n">
        <x:v>8</x:v>
      </x:c>
      <x:c r="J114" s="27" t="n">
        <x:v>12</x:v>
      </x:c>
      <x:c r="K114" s="27" t="n">
        <x:v>7</x:v>
      </x:c>
      <x:c r="L114" s="6" t="str">
        <x:v>철근</x:v>
      </x:c>
      <x:c r="M114" s="6" t="str">
        <x:v>D13</x:v>
      </x:c>
      <x:c r="N114" s="25" t="str">
        <x:v>반영</x:v>
      </x:c>
      <x:c r="O114" s="30" t="n">
        <x:f>IF(AND(N114="반영",ISNUMBER(H114)),H114,"미산정")</x:f>
        <x:v>2990</x:v>
      </x:c>
      <x:c r="P114" s="25" t="str">
        <x:v>미제공</x:v>
      </x:c>
      <x:c r="Q114" s="6" t="str">
        <x:v>등록 품목·규격과 일치</x:v>
      </x:c>
      <x:c r="R114" s="65" t="n">
        <x:f>K114</x:f>
        <x:v>7</x:v>
      </x:c>
      <x:c r="S114" s="68" t="n">
        <x:f>MAX(0,MIN(1,($B$15-I114+1)/(J114-I114+1)))</x:f>
        <x:v>0.6</x:v>
      </x:c>
      <x:c r="T114" s="72" t="n">
        <x:f>IF(ISNUMBER(O114),IF(R114&lt;=$B$15,O114,0),"미산정")</x:f>
        <x:v>2990</x:v>
      </x:c>
      <x:c r="U114" s="72" t="n">
        <x:f>IF(ISNUMBER(O114),MIN(T114,ROUND(O114*S114,0)),"미산정")</x:f>
        <x:v>1794</x:v>
      </x:c>
      <x:c r="V114" s="72" t="n">
        <x:f>IF(ISNUMBER(O114),T114-U114,"미산정")</x:f>
        <x:v>1196</x:v>
      </x:c>
      <x:c r="W114" s="72" t="n">
        <x:f>IF(ISNUMBER(O114),O114-T114,"미산정")</x:f>
        <x:v>0</x:v>
      </x:c>
      <x:c r="X114" s="72" t="n">
        <x:f>IF(ISNUMBER(O114),O114-U114,"미산정")</x:f>
        <x:v>1196</x:v>
      </x:c>
    </x:row>
    <x:row r="115" ht="44" customHeight="1">
      <x:c r="A115" s="24" t="n">
        <x:v>105</x:v>
      </x:c>
      <x:c r="B115" s="24" t="str">
        <x:v>105동</x:v>
      </x:c>
      <x:c r="C115" s="13" t="str">
        <x:v>벽체·기둥 철근배근</x:v>
      </x:c>
      <x:c r="D115" s="13" t="str">
        <x:v>RB-D16</x:v>
      </x:c>
      <x:c r="E115" s="13" t="str">
        <x:v>철근</x:v>
      </x:c>
      <x:c r="F115" s="13" t="str">
        <x:v>SD500 D16 / 부위별 공장 가공</x:v>
      </x:c>
      <x:c r="G115" s="13" t="str">
        <x:v>kg</x:v>
      </x:c>
      <x:c r="H115" s="17" t="n">
        <x:v>3740</x:v>
      </x:c>
      <x:c r="I115" s="26" t="n">
        <x:v>8</x:v>
      </x:c>
      <x:c r="J115" s="26" t="n">
        <x:v>12</x:v>
      </x:c>
      <x:c r="K115" s="26" t="n">
        <x:v>7</x:v>
      </x:c>
      <x:c r="L115" s="13" t="str">
        <x:v>철근</x:v>
      </x:c>
      <x:c r="M115" s="13" t="str">
        <x:v>D16</x:v>
      </x:c>
      <x:c r="N115" s="24" t="str">
        <x:v>반영</x:v>
      </x:c>
      <x:c r="O115" s="29" t="n">
        <x:f>IF(AND(N115="반영",ISNUMBER(H115)),H115,"미산정")</x:f>
        <x:v>3740</x:v>
      </x:c>
      <x:c r="P115" s="24" t="str">
        <x:v>미제공</x:v>
      </x:c>
      <x:c r="Q115" s="13" t="str">
        <x:v>등록 품목·규격과 일치</x:v>
      </x:c>
      <x:c r="R115" s="65" t="n">
        <x:f>K115</x:f>
        <x:v>7</x:v>
      </x:c>
      <x:c r="S115" s="67" t="n">
        <x:f>MAX(0,MIN(1,($B$15-I115+1)/(J115-I115+1)))</x:f>
        <x:v>0.6</x:v>
      </x:c>
      <x:c r="T115" s="71" t="n">
        <x:f>IF(ISNUMBER(O115),IF(R115&lt;=$B$15,O115,0),"미산정")</x:f>
        <x:v>3740</x:v>
      </x:c>
      <x:c r="U115" s="71" t="n">
        <x:f>IF(ISNUMBER(O115),MIN(T115,ROUND(O115*S115,0)),"미산정")</x:f>
        <x:v>2244</x:v>
      </x:c>
      <x:c r="V115" s="71" t="n">
        <x:f>IF(ISNUMBER(O115),T115-U115,"미산정")</x:f>
        <x:v>1496</x:v>
      </x:c>
      <x:c r="W115" s="71" t="n">
        <x:f>IF(ISNUMBER(O115),O115-T115,"미산정")</x:f>
        <x:v>0</x:v>
      </x:c>
      <x:c r="X115" s="71" t="n">
        <x:f>IF(ISNUMBER(O115),O115-U115,"미산정")</x:f>
        <x:v>1496</x:v>
      </x:c>
    </x:row>
    <x:row r="116" ht="44" customHeight="1">
      <x:c r="A116" s="25" t="n">
        <x:v>106</x:v>
      </x:c>
      <x:c r="B116" s="25" t="str">
        <x:v>105동</x:v>
      </x:c>
      <x:c r="C116" s="6" t="str">
        <x:v>벽체·기둥 철근배근</x:v>
      </x:c>
      <x:c r="D116" s="6" t="str">
        <x:v>RB-D19</x:v>
      </x:c>
      <x:c r="E116" s="6" t="str">
        <x:v>철근</x:v>
      </x:c>
      <x:c r="F116" s="6" t="str">
        <x:v>SD500 D19 / 부위별 공장 가공</x:v>
      </x:c>
      <x:c r="G116" s="6" t="str">
        <x:v>kg</x:v>
      </x:c>
      <x:c r="H116" s="18" t="n">
        <x:v>3740</x:v>
      </x:c>
      <x:c r="I116" s="27" t="n">
        <x:v>8</x:v>
      </x:c>
      <x:c r="J116" s="27" t="n">
        <x:v>12</x:v>
      </x:c>
      <x:c r="K116" s="27" t="n">
        <x:v>7</x:v>
      </x:c>
      <x:c r="L116" s="6" t="str">
        <x:v>철근</x:v>
      </x:c>
      <x:c r="M116" s="6" t="str">
        <x:v>D19</x:v>
      </x:c>
      <x:c r="N116" s="25" t="str">
        <x:v>반영</x:v>
      </x:c>
      <x:c r="O116" s="30" t="n">
        <x:f>IF(AND(N116="반영",ISNUMBER(H116)),H116,"미산정")</x:f>
        <x:v>3740</x:v>
      </x:c>
      <x:c r="P116" s="25" t="str">
        <x:v>미제공</x:v>
      </x:c>
      <x:c r="Q116" s="6" t="str">
        <x:v>등록 품목·규격과 일치</x:v>
      </x:c>
      <x:c r="R116" s="65" t="n">
        <x:f>K116</x:f>
        <x:v>7</x:v>
      </x:c>
      <x:c r="S116" s="68" t="n">
        <x:f>MAX(0,MIN(1,($B$15-I116+1)/(J116-I116+1)))</x:f>
        <x:v>0.6</x:v>
      </x:c>
      <x:c r="T116" s="72" t="n">
        <x:f>IF(ISNUMBER(O116),IF(R116&lt;=$B$15,O116,0),"미산정")</x:f>
        <x:v>3740</x:v>
      </x:c>
      <x:c r="U116" s="72" t="n">
        <x:f>IF(ISNUMBER(O116),MIN(T116,ROUND(O116*S116,0)),"미산정")</x:f>
        <x:v>2244</x:v>
      </x:c>
      <x:c r="V116" s="72" t="n">
        <x:f>IF(ISNUMBER(O116),T116-U116,"미산정")</x:f>
        <x:v>1496</x:v>
      </x:c>
      <x:c r="W116" s="72" t="n">
        <x:f>IF(ISNUMBER(O116),O116-T116,"미산정")</x:f>
        <x:v>0</x:v>
      </x:c>
      <x:c r="X116" s="72" t="n">
        <x:f>IF(ISNUMBER(O116),O116-U116,"미산정")</x:f>
        <x:v>1496</x:v>
      </x:c>
    </x:row>
    <x:row r="117" ht="44" customHeight="1">
      <x:c r="A117" s="24" t="n">
        <x:v>107</x:v>
      </x:c>
      <x:c r="B117" s="24" t="str">
        <x:v>105동</x:v>
      </x:c>
      <x:c r="C117" s="13" t="str">
        <x:v>벽체·기둥 철근배근</x:v>
      </x:c>
      <x:c r="D117" s="13" t="str">
        <x:v>RB-D22</x:v>
      </x:c>
      <x:c r="E117" s="13" t="str">
        <x:v>철근</x:v>
      </x:c>
      <x:c r="F117" s="13" t="str">
        <x:v>SD500 D22 / 부위별 공장 가공</x:v>
      </x:c>
      <x:c r="G117" s="13" t="str">
        <x:v>kg</x:v>
      </x:c>
      <x:c r="H117" s="17" t="n">
        <x:v>4980</x:v>
      </x:c>
      <x:c r="I117" s="26" t="n">
        <x:v>8</x:v>
      </x:c>
      <x:c r="J117" s="26" t="n">
        <x:v>12</x:v>
      </x:c>
      <x:c r="K117" s="26" t="n">
        <x:v>7</x:v>
      </x:c>
      <x:c r="L117" s="13" t="str">
        <x:v>철근</x:v>
      </x:c>
      <x:c r="M117" s="13" t="str">
        <x:v>D22</x:v>
      </x:c>
      <x:c r="N117" s="24" t="str">
        <x:v>반영</x:v>
      </x:c>
      <x:c r="O117" s="29" t="n">
        <x:f>IF(AND(N117="반영",ISNUMBER(H117)),H117,"미산정")</x:f>
        <x:v>4980</x:v>
      </x:c>
      <x:c r="P117" s="24" t="str">
        <x:v>미제공</x:v>
      </x:c>
      <x:c r="Q117" s="13" t="str">
        <x:v>등록 품목·규격과 일치</x:v>
      </x:c>
      <x:c r="R117" s="65" t="n">
        <x:f>K117</x:f>
        <x:v>7</x:v>
      </x:c>
      <x:c r="S117" s="67" t="n">
        <x:f>MAX(0,MIN(1,($B$15-I117+1)/(J117-I117+1)))</x:f>
        <x:v>0.6</x:v>
      </x:c>
      <x:c r="T117" s="71" t="n">
        <x:f>IF(ISNUMBER(O117),IF(R117&lt;=$B$15,O117,0),"미산정")</x:f>
        <x:v>4980</x:v>
      </x:c>
      <x:c r="U117" s="71" t="n">
        <x:f>IF(ISNUMBER(O117),MIN(T117,ROUND(O117*S117,0)),"미산정")</x:f>
        <x:v>2988</x:v>
      </x:c>
      <x:c r="V117" s="71" t="n">
        <x:f>IF(ISNUMBER(O117),T117-U117,"미산정")</x:f>
        <x:v>1992</x:v>
      </x:c>
      <x:c r="W117" s="71" t="n">
        <x:f>IF(ISNUMBER(O117),O117-T117,"미산정")</x:f>
        <x:v>0</x:v>
      </x:c>
      <x:c r="X117" s="71" t="n">
        <x:f>IF(ISNUMBER(O117),O117-U117,"미산정")</x:f>
        <x:v>1992</x:v>
      </x:c>
    </x:row>
    <x:row r="118" ht="44" customHeight="1">
      <x:c r="A118" s="25" t="n">
        <x:v>108</x:v>
      </x:c>
      <x:c r="B118" s="25" t="str">
        <x:v>105동</x:v>
      </x:c>
      <x:c r="C118" s="6" t="str">
        <x:v>벽체·기둥 철근배근</x:v>
      </x:c>
      <x:c r="D118" s="6" t="str">
        <x:v>RB-D25</x:v>
      </x:c>
      <x:c r="E118" s="6" t="str">
        <x:v>철근</x:v>
      </x:c>
      <x:c r="F118" s="6" t="str">
        <x:v>SD500 D25 / 부위별 공장 가공</x:v>
      </x:c>
      <x:c r="G118" s="6" t="str">
        <x:v>kg</x:v>
      </x:c>
      <x:c r="H118" s="18" t="n">
        <x:v>7470</x:v>
      </x:c>
      <x:c r="I118" s="27" t="n">
        <x:v>8</x:v>
      </x:c>
      <x:c r="J118" s="27" t="n">
        <x:v>12</x:v>
      </x:c>
      <x:c r="K118" s="27" t="n">
        <x:v>7</x:v>
      </x:c>
      <x:c r="L118" s="6" t="str">
        <x:v>철근</x:v>
      </x:c>
      <x:c r="M118" s="6" t="str">
        <x:v>D25</x:v>
      </x:c>
      <x:c r="N118" s="25" t="str">
        <x:v>반영</x:v>
      </x:c>
      <x:c r="O118" s="30" t="n">
        <x:f>IF(AND(N118="반영",ISNUMBER(H118)),H118,"미산정")</x:f>
        <x:v>7470</x:v>
      </x:c>
      <x:c r="P118" s="25" t="str">
        <x:v>미제공</x:v>
      </x:c>
      <x:c r="Q118" s="6" t="str">
        <x:v>등록 품목·규격과 일치</x:v>
      </x:c>
      <x:c r="R118" s="65" t="n">
        <x:f>K118</x:f>
        <x:v>7</x:v>
      </x:c>
      <x:c r="S118" s="68" t="n">
        <x:f>MAX(0,MIN(1,($B$15-I118+1)/(J118-I118+1)))</x:f>
        <x:v>0.6</x:v>
      </x:c>
      <x:c r="T118" s="72" t="n">
        <x:f>IF(ISNUMBER(O118),IF(R118&lt;=$B$15,O118,0),"미산정")</x:f>
        <x:v>7470</x:v>
      </x:c>
      <x:c r="U118" s="72" t="n">
        <x:f>IF(ISNUMBER(O118),MIN(T118,ROUND(O118*S118,0)),"미산정")</x:f>
        <x:v>4482</x:v>
      </x:c>
      <x:c r="V118" s="72" t="n">
        <x:f>IF(ISNUMBER(O118),T118-U118,"미산정")</x:f>
        <x:v>2988</x:v>
      </x:c>
      <x:c r="W118" s="72" t="n">
        <x:f>IF(ISNUMBER(O118),O118-T118,"미산정")</x:f>
        <x:v>0</x:v>
      </x:c>
      <x:c r="X118" s="72" t="n">
        <x:f>IF(ISNUMBER(O118),O118-U118,"미산정")</x:f>
        <x:v>2988</x:v>
      </x:c>
    </x:row>
    <x:row r="119" ht="44" customHeight="1">
      <x:c r="A119" s="24" t="n">
        <x:v>109</x:v>
      </x:c>
      <x:c r="B119" s="24" t="str">
        <x:v>105동</x:v>
      </x:c>
      <x:c r="C119" s="13" t="str">
        <x:v>수직부 거푸집 설치</x:v>
      </x:c>
      <x:c r="D119" s="13" t="str">
        <x:v>EF-5012</x:v>
      </x:c>
      <x:c r="E119" s="13" t="str">
        <x:v>유로폼</x:v>
      </x:c>
      <x:c r="F119" s="13" t="str">
        <x:v>500×1,200mm</x:v>
      </x:c>
      <x:c r="G119" s="13" t="str">
        <x:v>장</x:v>
      </x:c>
      <x:c r="H119" s="17" t="n">
        <x:v>999</x:v>
      </x:c>
      <x:c r="I119" s="26" t="n">
        <x:v>13</x:v>
      </x:c>
      <x:c r="J119" s="26" t="n">
        <x:v>19</x:v>
      </x:c>
      <x:c r="K119" s="26" t="n">
        <x:v>12</x:v>
      </x:c>
      <x:c r="L119" s="13" t="str">
        <x:v>유로폼</x:v>
      </x:c>
      <x:c r="M119" s="13" t="str">
        <x:v>500x1200</x:v>
      </x:c>
      <x:c r="N119" s="24" t="str">
        <x:v>반영</x:v>
      </x:c>
      <x:c r="O119" s="29" t="n">
        <x:f>IF(AND(N119="반영",ISNUMBER(H119)),H119,"미산정")</x:f>
        <x:v>999</x:v>
      </x:c>
      <x:c r="P119" s="24" t="str">
        <x:v>해당 없음</x:v>
      </x:c>
      <x:c r="Q119" s="13" t="str">
        <x:v>등록 품목·규격과 일치</x:v>
      </x:c>
      <x:c r="R119" s="66" t="n">
        <x:v>10</x:v>
      </x:c>
      <x:c r="S119" s="67" t="n">
        <x:f>MAX(0,MIN(1,($B$15-I119+1)/(J119-I119+1)))</x:f>
        <x:v>0</x:v>
      </x:c>
      <x:c r="T119" s="71" t="n">
        <x:f>IF(ISNUMBER(O119),IF(R119&lt;=$B$15,O119,0),"미산정")</x:f>
        <x:v>999</x:v>
      </x:c>
      <x:c r="U119" s="71" t="n">
        <x:f>IF(ISNUMBER(O119),MIN(T119,ROUND(O119*S119,0)),"미산정")</x:f>
        <x:v>0</x:v>
      </x:c>
      <x:c r="V119" s="71" t="n">
        <x:f>IF(ISNUMBER(O119),T119-U119,"미산정")</x:f>
        <x:v>999</x:v>
      </x:c>
      <x:c r="W119" s="71" t="n">
        <x:f>IF(ISNUMBER(O119),O119-T119,"미산정")</x:f>
        <x:v>0</x:v>
      </x:c>
      <x:c r="X119" s="71" t="n">
        <x:f>IF(ISNUMBER(O119),O119-U119,"미산정")</x:f>
        <x:v>999</x:v>
      </x:c>
    </x:row>
    <x:row r="120" ht="44" customHeight="1">
      <x:c r="A120" s="25" t="n">
        <x:v>110</x:v>
      </x:c>
      <x:c r="B120" s="25" t="str">
        <x:v>105동</x:v>
      </x:c>
      <x:c r="C120" s="6" t="str">
        <x:v>수직부 거푸집 설치</x:v>
      </x:c>
      <x:c r="D120" s="6" t="str">
        <x:v>EF-6012</x:v>
      </x:c>
      <x:c r="E120" s="6" t="str">
        <x:v>유로폼</x:v>
      </x:c>
      <x:c r="F120" s="6" t="str">
        <x:v>600×1,200mm</x:v>
      </x:c>
      <x:c r="G120" s="6" t="str">
        <x:v>장</x:v>
      </x:c>
      <x:c r="H120" s="18" t="n">
        <x:v>347</x:v>
      </x:c>
      <x:c r="I120" s="27" t="n">
        <x:v>13</x:v>
      </x:c>
      <x:c r="J120" s="27" t="n">
        <x:v>19</x:v>
      </x:c>
      <x:c r="K120" s="27" t="n">
        <x:v>12</x:v>
      </x:c>
      <x:c r="L120" s="6" t="str">
        <x:v>유로폼</x:v>
      </x:c>
      <x:c r="M120" s="6" t="str">
        <x:v>600x1200</x:v>
      </x:c>
      <x:c r="N120" s="25" t="str">
        <x:v>반영</x:v>
      </x:c>
      <x:c r="O120" s="30" t="n">
        <x:f>IF(AND(N120="반영",ISNUMBER(H120)),H120,"미산정")</x:f>
        <x:v>347</x:v>
      </x:c>
      <x:c r="P120" s="25" t="str">
        <x:v>해당 없음</x:v>
      </x:c>
      <x:c r="Q120" s="6" t="str">
        <x:v>등록 품목·규격과 일치</x:v>
      </x:c>
      <x:c r="R120" s="66" t="n">
        <x:v>10</x:v>
      </x:c>
      <x:c r="S120" s="68" t="n">
        <x:f>MAX(0,MIN(1,($B$15-I120+1)/(J120-I120+1)))</x:f>
        <x:v>0</x:v>
      </x:c>
      <x:c r="T120" s="72" t="n">
        <x:f>IF(ISNUMBER(O120),IF(R120&lt;=$B$15,O120,0),"미산정")</x:f>
        <x:v>347</x:v>
      </x:c>
      <x:c r="U120" s="72" t="n">
        <x:f>IF(ISNUMBER(O120),MIN(T120,ROUND(O120*S120,0)),"미산정")</x:f>
        <x:v>0</x:v>
      </x:c>
      <x:c r="V120" s="72" t="n">
        <x:f>IF(ISNUMBER(O120),T120-U120,"미산정")</x:f>
        <x:v>347</x:v>
      </x:c>
      <x:c r="W120" s="72" t="n">
        <x:f>IF(ISNUMBER(O120),O120-T120,"미산정")</x:f>
        <x:v>0</x:v>
      </x:c>
      <x:c r="X120" s="72" t="n">
        <x:f>IF(ISNUMBER(O120),O120-U120,"미산정")</x:f>
        <x:v>347</x:v>
      </x:c>
    </x:row>
    <x:row r="121" ht="44" customHeight="1">
      <x:c r="A121" s="24" t="n">
        <x:v>111</x:v>
      </x:c>
      <x:c r="B121" s="24" t="str">
        <x:v>105동</x:v>
      </x:c>
      <x:c r="C121" s="13" t="str">
        <x:v>수직부 거푸집 설치</x:v>
      </x:c>
      <x:c r="D121" s="13" t="str">
        <x:v>EF-3012</x:v>
      </x:c>
      <x:c r="E121" s="13" t="str">
        <x:v>유로폼</x:v>
      </x:c>
      <x:c r="F121" s="13" t="str">
        <x:v>300×1,200mm</x:v>
      </x:c>
      <x:c r="G121" s="13" t="str">
        <x:v>장</x:v>
      </x:c>
      <x:c r="H121" s="17" t="n">
        <x:v>278</x:v>
      </x:c>
      <x:c r="I121" s="26" t="n">
        <x:v>13</x:v>
      </x:c>
      <x:c r="J121" s="26" t="n">
        <x:v>19</x:v>
      </x:c>
      <x:c r="K121" s="26" t="n">
        <x:v>12</x:v>
      </x:c>
      <x:c r="L121" s="13" t="str">
        <x:v>유로폼</x:v>
      </x:c>
      <x:c r="M121" s="13" t="str">
        <x:v>300x1200</x:v>
      </x:c>
      <x:c r="N121" s="24" t="str">
        <x:v>반영</x:v>
      </x:c>
      <x:c r="O121" s="29" t="n">
        <x:f>IF(AND(N121="반영",ISNUMBER(H121)),H121,"미산정")</x:f>
        <x:v>278</x:v>
      </x:c>
      <x:c r="P121" s="24" t="str">
        <x:v>해당 없음</x:v>
      </x:c>
      <x:c r="Q121" s="13" t="str">
        <x:v>등록 품목·규격과 일치</x:v>
      </x:c>
      <x:c r="R121" s="66" t="n">
        <x:v>10</x:v>
      </x:c>
      <x:c r="S121" s="67" t="n">
        <x:f>MAX(0,MIN(1,($B$15-I121+1)/(J121-I121+1)))</x:f>
        <x:v>0</x:v>
      </x:c>
      <x:c r="T121" s="71" t="n">
        <x:f>IF(ISNUMBER(O121),IF(R121&lt;=$B$15,O121,0),"미산정")</x:f>
        <x:v>278</x:v>
      </x:c>
      <x:c r="U121" s="71" t="n">
        <x:f>IF(ISNUMBER(O121),MIN(T121,ROUND(O121*S121,0)),"미산정")</x:f>
        <x:v>0</x:v>
      </x:c>
      <x:c r="V121" s="71" t="n">
        <x:f>IF(ISNUMBER(O121),T121-U121,"미산정")</x:f>
        <x:v>278</x:v>
      </x:c>
      <x:c r="W121" s="71" t="n">
        <x:f>IF(ISNUMBER(O121),O121-T121,"미산정")</x:f>
        <x:v>0</x:v>
      </x:c>
      <x:c r="X121" s="71" t="n">
        <x:f>IF(ISNUMBER(O121),O121-U121,"미산정")</x:f>
        <x:v>278</x:v>
      </x:c>
    </x:row>
    <x:row r="122" ht="44" customHeight="1">
      <x:c r="A122" s="25" t="n">
        <x:v>112</x:v>
      </x:c>
      <x:c r="B122" s="25" t="str">
        <x:v>105동</x:v>
      </x:c>
      <x:c r="C122" s="6" t="str">
        <x:v>수직부 거푸집 설치</x:v>
      </x:c>
      <x:c r="D122" s="6" t="str">
        <x:v>EF-5006</x:v>
      </x:c>
      <x:c r="E122" s="6" t="str">
        <x:v>유로폼</x:v>
      </x:c>
      <x:c r="F122" s="6" t="str">
        <x:v>500×600mm</x:v>
      </x:c>
      <x:c r="G122" s="6" t="str">
        <x:v>장</x:v>
      </x:c>
      <x:c r="H122" s="18" t="n">
        <x:v>167</x:v>
      </x:c>
      <x:c r="I122" s="27" t="n">
        <x:v>13</x:v>
      </x:c>
      <x:c r="J122" s="27" t="n">
        <x:v>19</x:v>
      </x:c>
      <x:c r="K122" s="27" t="n">
        <x:v>12</x:v>
      </x:c>
      <x:c r="L122" s="6" t="str">
        <x:v>미등록</x:v>
      </x:c>
      <x:c r="M122" s="6" t="str">
        <x:v>미산정</x:v>
      </x:c>
      <x:c r="N122" s="28" t="str">
        <x:v>미산정</x:v>
      </x:c>
      <x:c r="O122" s="31" t="str">
        <x:f>IF(AND(N122="반영",ISNUMBER(H122)),H122,"미산정")</x:f>
        <x:v>미산정</x:v>
      </x:c>
      <x:c r="P122" s="28" t="str">
        <x:v>해당 없음</x:v>
      </x:c>
      <x:c r="Q122" s="14" t="str">
        <x:v>유로폼 500×600은 현재 웹 등록 규격에 없음</x:v>
      </x:c>
      <x:c r="R122" s="65" t="n">
        <x:f>K122</x:f>
        <x:v>12</x:v>
      </x:c>
      <x:c r="S122" s="68" t="n">
        <x:f>MAX(0,MIN(1,($B$15-I122+1)/(J122-I122+1)))</x:f>
        <x:v>0</x:v>
      </x:c>
      <x:c r="T122" s="72" t="str">
        <x:f>IF(ISNUMBER(O122),IF(R122&lt;=$B$15,O122,0),"미산정")</x:f>
        <x:v>미산정</x:v>
      </x:c>
      <x:c r="U122" s="72" t="str">
        <x:f>IF(ISNUMBER(O122),MIN(T122,ROUND(O122*S122,0)),"미산정")</x:f>
        <x:v>미산정</x:v>
      </x:c>
      <x:c r="V122" s="72" t="str">
        <x:f>IF(ISNUMBER(O122),T122-U122,"미산정")</x:f>
        <x:v>미산정</x:v>
      </x:c>
      <x:c r="W122" s="72" t="str">
        <x:f>IF(ISNUMBER(O122),O122-T122,"미산정")</x:f>
        <x:v>미산정</x:v>
      </x:c>
      <x:c r="X122" s="72" t="str">
        <x:f>IF(ISNUMBER(O122),O122-U122,"미산정")</x:f>
        <x:v>미산정</x:v>
      </x:c>
    </x:row>
    <x:row r="123" ht="44" customHeight="1">
      <x:c r="A123" s="24" t="n">
        <x:v>113</x:v>
      </x:c>
      <x:c r="B123" s="24" t="str">
        <x:v>105동</x:v>
      </x:c>
      <x:c r="C123" s="13" t="str">
        <x:v>수직부 거푸집 설치</x:v>
      </x:c>
      <x:c r="D123" s="13" t="str">
        <x:v>PW-1224</x:v>
      </x:c>
      <x:c r="E123" s="13" t="str">
        <x:v>코팅합판</x:v>
      </x:c>
      <x:c r="F123" s="13" t="str">
        <x:v>1,220×2,440×12mm</x:v>
      </x:c>
      <x:c r="G123" s="13" t="str">
        <x:v>장</x:v>
      </x:c>
      <x:c r="H123" s="17" t="n">
        <x:v>16</x:v>
      </x:c>
      <x:c r="I123" s="26" t="n">
        <x:v>13</x:v>
      </x:c>
      <x:c r="J123" s="26" t="n">
        <x:v>19</x:v>
      </x:c>
      <x:c r="K123" s="26" t="n">
        <x:v>12</x:v>
      </x:c>
      <x:c r="L123" s="13" t="str">
        <x:v>미등록</x:v>
      </x:c>
      <x:c r="M123" s="13" t="str">
        <x:v>미산정</x:v>
      </x:c>
      <x:c r="N123" s="28" t="str">
        <x:v>미산정</x:v>
      </x:c>
      <x:c r="O123" s="31" t="str">
        <x:f>IF(AND(N123="반영",ISNUMBER(H123)),H123,"미산정")</x:f>
        <x:v>미산정</x:v>
      </x:c>
      <x:c r="P123" s="28" t="str">
        <x:v>해당 없음</x:v>
      </x:c>
      <x:c r="Q123" s="14" t="str">
        <x:v>현재 웹 등록 품목에 없음. 다른 품목으로 대체하지 않음</x:v>
      </x:c>
      <x:c r="R123" s="65" t="n">
        <x:f>K123</x:f>
        <x:v>12</x:v>
      </x:c>
      <x:c r="S123" s="67" t="n">
        <x:f>MAX(0,MIN(1,($B$15-I123+1)/(J123-I123+1)))</x:f>
        <x:v>0</x:v>
      </x:c>
      <x:c r="T123" s="71" t="str">
        <x:f>IF(ISNUMBER(O123),IF(R123&lt;=$B$15,O123,0),"미산정")</x:f>
        <x:v>미산정</x:v>
      </x:c>
      <x:c r="U123" s="71" t="str">
        <x:f>IF(ISNUMBER(O123),MIN(T123,ROUND(O123*S123,0)),"미산정")</x:f>
        <x:v>미산정</x:v>
      </x:c>
      <x:c r="V123" s="71" t="str">
        <x:f>IF(ISNUMBER(O123),T123-U123,"미산정")</x:f>
        <x:v>미산정</x:v>
      </x:c>
      <x:c r="W123" s="71" t="str">
        <x:f>IF(ISNUMBER(O123),O123-T123,"미산정")</x:f>
        <x:v>미산정</x:v>
      </x:c>
      <x:c r="X123" s="71" t="str">
        <x:f>IF(ISNUMBER(O123),O123-U123,"미산정")</x:f>
        <x:v>미산정</x:v>
      </x:c>
    </x:row>
    <x:row r="124" ht="44" customHeight="1">
      <x:c r="A124" s="25" t="n">
        <x:v>114</x:v>
      </x:c>
      <x:c r="B124" s="25" t="str">
        <x:v>105동</x:v>
      </x:c>
      <x:c r="C124" s="6" t="str">
        <x:v>수직부 거푸집 설치</x:v>
      </x:c>
      <x:c r="D124" s="6" t="str">
        <x:v>IC-1012</x:v>
      </x:c>
      <x:c r="E124" s="6" t="str">
        <x:v>인코너</x:v>
      </x:c>
      <x:c r="F124" s="6" t="str">
        <x:v>100×100×1,200mm</x:v>
      </x:c>
      <x:c r="G124" s="6" t="str">
        <x:v>개</x:v>
      </x:c>
      <x:c r="H124" s="18" t="n">
        <x:v>80</x:v>
      </x:c>
      <x:c r="I124" s="27" t="n">
        <x:v>13</x:v>
      </x:c>
      <x:c r="J124" s="27" t="n">
        <x:v>19</x:v>
      </x:c>
      <x:c r="K124" s="27" t="n">
        <x:v>12</x:v>
      </x:c>
      <x:c r="L124" s="6" t="str">
        <x:v>미등록</x:v>
      </x:c>
      <x:c r="M124" s="6" t="str">
        <x:v>미산정</x:v>
      </x:c>
      <x:c r="N124" s="28" t="str">
        <x:v>미산정</x:v>
      </x:c>
      <x:c r="O124" s="31" t="str">
        <x:f>IF(AND(N124="반영",ISNUMBER(H124)),H124,"미산정")</x:f>
        <x:v>미산정</x:v>
      </x:c>
      <x:c r="P124" s="28" t="str">
        <x:v>해당 없음</x:v>
      </x:c>
      <x:c r="Q124" s="14" t="str">
        <x:v>현재 웹 등록 품목에 없음. 다른 품목으로 대체하지 않음</x:v>
      </x:c>
      <x:c r="R124" s="65" t="n">
        <x:f>K124</x:f>
        <x:v>12</x:v>
      </x:c>
      <x:c r="S124" s="68" t="n">
        <x:f>MAX(0,MIN(1,($B$15-I124+1)/(J124-I124+1)))</x:f>
        <x:v>0</x:v>
      </x:c>
      <x:c r="T124" s="72" t="str">
        <x:f>IF(ISNUMBER(O124),IF(R124&lt;=$B$15,O124,0),"미산정")</x:f>
        <x:v>미산정</x:v>
      </x:c>
      <x:c r="U124" s="72" t="str">
        <x:f>IF(ISNUMBER(O124),MIN(T124,ROUND(O124*S124,0)),"미산정")</x:f>
        <x:v>미산정</x:v>
      </x:c>
      <x:c r="V124" s="72" t="str">
        <x:f>IF(ISNUMBER(O124),T124-U124,"미산정")</x:f>
        <x:v>미산정</x:v>
      </x:c>
      <x:c r="W124" s="72" t="str">
        <x:f>IF(ISNUMBER(O124),O124-T124,"미산정")</x:f>
        <x:v>미산정</x:v>
      </x:c>
      <x:c r="X124" s="72" t="str">
        <x:f>IF(ISNUMBER(O124),O124-U124,"미산정")</x:f>
        <x:v>미산정</x:v>
      </x:c>
    </x:row>
    <x:row r="125" ht="44" customHeight="1">
      <x:c r="A125" s="24" t="n">
        <x:v>115</x:v>
      </x:c>
      <x:c r="B125" s="24" t="str">
        <x:v>105동</x:v>
      </x:c>
      <x:c r="C125" s="13" t="str">
        <x:v>수직부 거푸집 설치</x:v>
      </x:c>
      <x:c r="D125" s="13" t="str">
        <x:v>OC-12</x:v>
      </x:c>
      <x:c r="E125" s="13" t="str">
        <x:v>아웃코너</x:v>
      </x:c>
      <x:c r="F125" s="13" t="str">
        <x:v>길이 1,200mm</x:v>
      </x:c>
      <x:c r="G125" s="13" t="str">
        <x:v>개</x:v>
      </x:c>
      <x:c r="H125" s="17" t="n">
        <x:v>400</x:v>
      </x:c>
      <x:c r="I125" s="26" t="n">
        <x:v>13</x:v>
      </x:c>
      <x:c r="J125" s="26" t="n">
        <x:v>19</x:v>
      </x:c>
      <x:c r="K125" s="26" t="n">
        <x:v>12</x:v>
      </x:c>
      <x:c r="L125" s="13" t="str">
        <x:v>미등록</x:v>
      </x:c>
      <x:c r="M125" s="13" t="str">
        <x:v>미산정</x:v>
      </x:c>
      <x:c r="N125" s="28" t="str">
        <x:v>미산정</x:v>
      </x:c>
      <x:c r="O125" s="31" t="str">
        <x:f>IF(AND(N125="반영",ISNUMBER(H125)),H125,"미산정")</x:f>
        <x:v>미산정</x:v>
      </x:c>
      <x:c r="P125" s="28" t="str">
        <x:v>해당 없음</x:v>
      </x:c>
      <x:c r="Q125" s="14" t="str">
        <x:v>현재 웹 등록 품목에 없음. 다른 품목으로 대체하지 않음</x:v>
      </x:c>
      <x:c r="R125" s="65" t="n">
        <x:f>K125</x:f>
        <x:v>12</x:v>
      </x:c>
      <x:c r="S125" s="67" t="n">
        <x:f>MAX(0,MIN(1,($B$15-I125+1)/(J125-I125+1)))</x:f>
        <x:v>0</x:v>
      </x:c>
      <x:c r="T125" s="71" t="str">
        <x:f>IF(ISNUMBER(O125),IF(R125&lt;=$B$15,O125,0),"미산정")</x:f>
        <x:v>미산정</x:v>
      </x:c>
      <x:c r="U125" s="71" t="str">
        <x:f>IF(ISNUMBER(O125),MIN(T125,ROUND(O125*S125,0)),"미산정")</x:f>
        <x:v>미산정</x:v>
      </x:c>
      <x:c r="V125" s="71" t="str">
        <x:f>IF(ISNUMBER(O125),T125-U125,"미산정")</x:f>
        <x:v>미산정</x:v>
      </x:c>
      <x:c r="W125" s="71" t="str">
        <x:f>IF(ISNUMBER(O125),O125-T125,"미산정")</x:f>
        <x:v>미산정</x:v>
      </x:c>
      <x:c r="X125" s="71" t="str">
        <x:f>IF(ISNUMBER(O125),O125-U125,"미산정")</x:f>
        <x:v>미산정</x:v>
      </x:c>
    </x:row>
    <x:row r="126" ht="44" customHeight="1">
      <x:c r="A126" s="25" t="n">
        <x:v>116</x:v>
      </x:c>
      <x:c r="B126" s="25" t="str">
        <x:v>105동</x:v>
      </x:c>
      <x:c r="C126" s="6" t="str">
        <x:v>시스템동바리 조립</x:v>
      </x:c>
      <x:c r="D126" s="6" t="str">
        <x:v>SV-1725</x:v>
      </x:c>
      <x:c r="E126" s="6" t="str">
        <x:v>수직재</x:v>
      </x:c>
      <x:c r="F126" s="6" t="str">
        <x:v>Ø60.5 / L=1,725mm</x:v>
      </x:c>
      <x:c r="G126" s="6" t="str">
        <x:v>본</x:v>
      </x:c>
      <x:c r="H126" s="18" t="n">
        <x:v>1046</x:v>
      </x:c>
      <x:c r="I126" s="27" t="n">
        <x:v>20</x:v>
      </x:c>
      <x:c r="J126" s="27" t="n">
        <x:v>22</x:v>
      </x:c>
      <x:c r="K126" s="27" t="n">
        <x:v>19</x:v>
      </x:c>
      <x:c r="L126" s="6" t="str">
        <x:v>미등록</x:v>
      </x:c>
      <x:c r="M126" s="6" t="str">
        <x:v>미산정</x:v>
      </x:c>
      <x:c r="N126" s="28" t="str">
        <x:v>미산정</x:v>
      </x:c>
      <x:c r="O126" s="31" t="str">
        <x:f>IF(AND(N126="반영",ISNUMBER(H126)),H126,"미산정")</x:f>
        <x:v>미산정</x:v>
      </x:c>
      <x:c r="P126" s="28" t="str">
        <x:v>해당 없음</x:v>
      </x:c>
      <x:c r="Q126" s="14" t="str">
        <x:v>원자료 치수·DSD 코드와 웹 P·H·OB 규격의 동일성 미확인</x:v>
      </x:c>
      <x:c r="R126" s="65" t="n">
        <x:f>K126</x:f>
        <x:v>19</x:v>
      </x:c>
      <x:c r="S126" s="68" t="n">
        <x:f>MAX(0,MIN(1,($B$15-I126+1)/(J126-I126+1)))</x:f>
        <x:v>0</x:v>
      </x:c>
      <x:c r="T126" s="72" t="str">
        <x:f>IF(ISNUMBER(O126),IF(R126&lt;=$B$15,O126,0),"미산정")</x:f>
        <x:v>미산정</x:v>
      </x:c>
      <x:c r="U126" s="72" t="str">
        <x:f>IF(ISNUMBER(O126),MIN(T126,ROUND(O126*S126,0)),"미산정")</x:f>
        <x:v>미산정</x:v>
      </x:c>
      <x:c r="V126" s="72" t="str">
        <x:f>IF(ISNUMBER(O126),T126-U126,"미산정")</x:f>
        <x:v>미산정</x:v>
      </x:c>
      <x:c r="W126" s="72" t="str">
        <x:f>IF(ISNUMBER(O126),O126-T126,"미산정")</x:f>
        <x:v>미산정</x:v>
      </x:c>
      <x:c r="X126" s="72" t="str">
        <x:f>IF(ISNUMBER(O126),O126-U126,"미산정")</x:f>
        <x:v>미산정</x:v>
      </x:c>
    </x:row>
    <x:row r="127" ht="44" customHeight="1">
      <x:c r="A127" s="24" t="n">
        <x:v>117</x:v>
      </x:c>
      <x:c r="B127" s="24" t="str">
        <x:v>105동</x:v>
      </x:c>
      <x:c r="C127" s="13" t="str">
        <x:v>시스템동바리 조립</x:v>
      </x:c>
      <x:c r="D127" s="13" t="str">
        <x:v>SV-1291</x:v>
      </x:c>
      <x:c r="E127" s="13" t="str">
        <x:v>수직재</x:v>
      </x:c>
      <x:c r="F127" s="13" t="str">
        <x:v>Ø60.5 / L=1,291mm</x:v>
      </x:c>
      <x:c r="G127" s="13" t="str">
        <x:v>본</x:v>
      </x:c>
      <x:c r="H127" s="17" t="n">
        <x:v>214</x:v>
      </x:c>
      <x:c r="I127" s="26" t="n">
        <x:v>20</x:v>
      </x:c>
      <x:c r="J127" s="26" t="n">
        <x:v>22</x:v>
      </x:c>
      <x:c r="K127" s="26" t="n">
        <x:v>19</x:v>
      </x:c>
      <x:c r="L127" s="13" t="str">
        <x:v>미등록</x:v>
      </x:c>
      <x:c r="M127" s="13" t="str">
        <x:v>미산정</x:v>
      </x:c>
      <x:c r="N127" s="28" t="str">
        <x:v>미산정</x:v>
      </x:c>
      <x:c r="O127" s="31" t="str">
        <x:f>IF(AND(N127="반영",ISNUMBER(H127)),H127,"미산정")</x:f>
        <x:v>미산정</x:v>
      </x:c>
      <x:c r="P127" s="28" t="str">
        <x:v>해당 없음</x:v>
      </x:c>
      <x:c r="Q127" s="14" t="str">
        <x:v>원자료 치수·DSD 코드와 웹 P·H·OB 규격의 동일성 미확인</x:v>
      </x:c>
      <x:c r="R127" s="65" t="n">
        <x:f>K127</x:f>
        <x:v>19</x:v>
      </x:c>
      <x:c r="S127" s="67" t="n">
        <x:f>MAX(0,MIN(1,($B$15-I127+1)/(J127-I127+1)))</x:f>
        <x:v>0</x:v>
      </x:c>
      <x:c r="T127" s="71" t="str">
        <x:f>IF(ISNUMBER(O127),IF(R127&lt;=$B$15,O127,0),"미산정")</x:f>
        <x:v>미산정</x:v>
      </x:c>
      <x:c r="U127" s="71" t="str">
        <x:f>IF(ISNUMBER(O127),MIN(T127,ROUND(O127*S127,0)),"미산정")</x:f>
        <x:v>미산정</x:v>
      </x:c>
      <x:c r="V127" s="71" t="str">
        <x:f>IF(ISNUMBER(O127),T127-U127,"미산정")</x:f>
        <x:v>미산정</x:v>
      </x:c>
      <x:c r="W127" s="71" t="str">
        <x:f>IF(ISNUMBER(O127),O127-T127,"미산정")</x:f>
        <x:v>미산정</x:v>
      </x:c>
      <x:c r="X127" s="71" t="str">
        <x:f>IF(ISNUMBER(O127),O127-U127,"미산정")</x:f>
        <x:v>미산정</x:v>
      </x:c>
    </x:row>
    <x:row r="128" ht="44" customHeight="1">
      <x:c r="A128" s="25" t="n">
        <x:v>118</x:v>
      </x:c>
      <x:c r="B128" s="25" t="str">
        <x:v>105동</x:v>
      </x:c>
      <x:c r="C128" s="6" t="str">
        <x:v>시스템동바리 조립</x:v>
      </x:c>
      <x:c r="D128" s="6" t="str">
        <x:v>SV-0863</x:v>
      </x:c>
      <x:c r="E128" s="6" t="str">
        <x:v>수직재</x:v>
      </x:c>
      <x:c r="F128" s="6" t="str">
        <x:v>Ø60.5 / L=863mm</x:v>
      </x:c>
      <x:c r="G128" s="6" t="str">
        <x:v>본</x:v>
      </x:c>
      <x:c r="H128" s="18" t="n">
        <x:v>630</x:v>
      </x:c>
      <x:c r="I128" s="27" t="n">
        <x:v>20</x:v>
      </x:c>
      <x:c r="J128" s="27" t="n">
        <x:v>22</x:v>
      </x:c>
      <x:c r="K128" s="27" t="n">
        <x:v>19</x:v>
      </x:c>
      <x:c r="L128" s="6" t="str">
        <x:v>미등록</x:v>
      </x:c>
      <x:c r="M128" s="6" t="str">
        <x:v>미산정</x:v>
      </x:c>
      <x:c r="N128" s="28" t="str">
        <x:v>미산정</x:v>
      </x:c>
      <x:c r="O128" s="31" t="str">
        <x:f>IF(AND(N128="반영",ISNUMBER(H128)),H128,"미산정")</x:f>
        <x:v>미산정</x:v>
      </x:c>
      <x:c r="P128" s="28" t="str">
        <x:v>해당 없음</x:v>
      </x:c>
      <x:c r="Q128" s="14" t="str">
        <x:v>원자료 치수·DSD 코드와 웹 P·H·OB 규격의 동일성 미확인</x:v>
      </x:c>
      <x:c r="R128" s="65" t="n">
        <x:f>K128</x:f>
        <x:v>19</x:v>
      </x:c>
      <x:c r="S128" s="68" t="n">
        <x:f>MAX(0,MIN(1,($B$15-I128+1)/(J128-I128+1)))</x:f>
        <x:v>0</x:v>
      </x:c>
      <x:c r="T128" s="72" t="str">
        <x:f>IF(ISNUMBER(O128),IF(R128&lt;=$B$15,O128,0),"미산정")</x:f>
        <x:v>미산정</x:v>
      </x:c>
      <x:c r="U128" s="72" t="str">
        <x:f>IF(ISNUMBER(O128),MIN(T128,ROUND(O128*S128,0)),"미산정")</x:f>
        <x:v>미산정</x:v>
      </x:c>
      <x:c r="V128" s="72" t="str">
        <x:f>IF(ISNUMBER(O128),T128-U128,"미산정")</x:f>
        <x:v>미산정</x:v>
      </x:c>
      <x:c r="W128" s="72" t="str">
        <x:f>IF(ISNUMBER(O128),O128-T128,"미산정")</x:f>
        <x:v>미산정</x:v>
      </x:c>
      <x:c r="X128" s="72" t="str">
        <x:f>IF(ISNUMBER(O128),O128-U128,"미산정")</x:f>
        <x:v>미산정</x:v>
      </x:c>
    </x:row>
    <x:row r="129" ht="44" customHeight="1">
      <x:c r="A129" s="24" t="n">
        <x:v>119</x:v>
      </x:c>
      <x:c r="B129" s="24" t="str">
        <x:v>105동</x:v>
      </x:c>
      <x:c r="C129" s="13" t="str">
        <x:v>시스템동바리 조립</x:v>
      </x:c>
      <x:c r="D129" s="13" t="str">
        <x:v>SH-1219</x:v>
      </x:c>
      <x:c r="E129" s="13" t="str">
        <x:v>수평재</x:v>
      </x:c>
      <x:c r="F129" s="13" t="str">
        <x:v>Ø42.7 / 호칭 L=1,219mm</x:v>
      </x:c>
      <x:c r="G129" s="13" t="str">
        <x:v>본</x:v>
      </x:c>
      <x:c r="H129" s="17" t="n">
        <x:v>4836</x:v>
      </x:c>
      <x:c r="I129" s="26" t="n">
        <x:v>20</x:v>
      </x:c>
      <x:c r="J129" s="26" t="n">
        <x:v>22</x:v>
      </x:c>
      <x:c r="K129" s="26" t="n">
        <x:v>19</x:v>
      </x:c>
      <x:c r="L129" s="13" t="str">
        <x:v>미등록</x:v>
      </x:c>
      <x:c r="M129" s="13" t="str">
        <x:v>미산정</x:v>
      </x:c>
      <x:c r="N129" s="28" t="str">
        <x:v>미산정</x:v>
      </x:c>
      <x:c r="O129" s="31" t="str">
        <x:f>IF(AND(N129="반영",ISNUMBER(H129)),H129,"미산정")</x:f>
        <x:v>미산정</x:v>
      </x:c>
      <x:c r="P129" s="28" t="str">
        <x:v>해당 없음</x:v>
      </x:c>
      <x:c r="Q129" s="14" t="str">
        <x:v>원자료 치수·DSD 코드와 웹 P·H·OB 규격의 동일성 미확인</x:v>
      </x:c>
      <x:c r="R129" s="65" t="n">
        <x:f>K129</x:f>
        <x:v>19</x:v>
      </x:c>
      <x:c r="S129" s="67" t="n">
        <x:f>MAX(0,MIN(1,($B$15-I129+1)/(J129-I129+1)))</x:f>
        <x:v>0</x:v>
      </x:c>
      <x:c r="T129" s="71" t="str">
        <x:f>IF(ISNUMBER(O129),IF(R129&lt;=$B$15,O129,0),"미산정")</x:f>
        <x:v>미산정</x:v>
      </x:c>
      <x:c r="U129" s="71" t="str">
        <x:f>IF(ISNUMBER(O129),MIN(T129,ROUND(O129*S129,0)),"미산정")</x:f>
        <x:v>미산정</x:v>
      </x:c>
      <x:c r="V129" s="71" t="str">
        <x:f>IF(ISNUMBER(O129),T129-U129,"미산정")</x:f>
        <x:v>미산정</x:v>
      </x:c>
      <x:c r="W129" s="71" t="str">
        <x:f>IF(ISNUMBER(O129),O129-T129,"미산정")</x:f>
        <x:v>미산정</x:v>
      </x:c>
      <x:c r="X129" s="71" t="str">
        <x:f>IF(ISNUMBER(O129),O129-U129,"미산정")</x:f>
        <x:v>미산정</x:v>
      </x:c>
    </x:row>
    <x:row r="130" ht="44" customHeight="1">
      <x:c r="A130" s="25" t="n">
        <x:v>120</x:v>
      </x:c>
      <x:c r="B130" s="25" t="str">
        <x:v>105동</x:v>
      </x:c>
      <x:c r="C130" s="6" t="str">
        <x:v>시스템동바리 조립</x:v>
      </x:c>
      <x:c r="D130" s="6" t="str">
        <x:v>SB-1712</x:v>
      </x:c>
      <x:c r="E130" s="6" t="str">
        <x:v>가새재</x:v>
      </x:c>
      <x:c r="F130" s="6" t="str">
        <x:v>DSD-1712 / L=1,974mm</x:v>
      </x:c>
      <x:c r="G130" s="6" t="str">
        <x:v>본</x:v>
      </x:c>
      <x:c r="H130" s="18" t="n">
        <x:v>504</x:v>
      </x:c>
      <x:c r="I130" s="27" t="n">
        <x:v>20</x:v>
      </x:c>
      <x:c r="J130" s="27" t="n">
        <x:v>22</x:v>
      </x:c>
      <x:c r="K130" s="27" t="n">
        <x:v>19</x:v>
      </x:c>
      <x:c r="L130" s="6" t="str">
        <x:v>미등록</x:v>
      </x:c>
      <x:c r="M130" s="6" t="str">
        <x:v>미산정</x:v>
      </x:c>
      <x:c r="N130" s="28" t="str">
        <x:v>미산정</x:v>
      </x:c>
      <x:c r="O130" s="31" t="str">
        <x:f>IF(AND(N130="반영",ISNUMBER(H130)),H130,"미산정")</x:f>
        <x:v>미산정</x:v>
      </x:c>
      <x:c r="P130" s="28" t="str">
        <x:v>해당 없음</x:v>
      </x:c>
      <x:c r="Q130" s="14" t="str">
        <x:v>원자료 치수·DSD 코드와 웹 P·H·OB 규격의 동일성 미확인</x:v>
      </x:c>
      <x:c r="R130" s="65" t="n">
        <x:f>K130</x:f>
        <x:v>19</x:v>
      </x:c>
      <x:c r="S130" s="68" t="n">
        <x:f>MAX(0,MIN(1,($B$15-I130+1)/(J130-I130+1)))</x:f>
        <x:v>0</x:v>
      </x:c>
      <x:c r="T130" s="72" t="str">
        <x:f>IF(ISNUMBER(O130),IF(R130&lt;=$B$15,O130,0),"미산정")</x:f>
        <x:v>미산정</x:v>
      </x:c>
      <x:c r="U130" s="72" t="str">
        <x:f>IF(ISNUMBER(O130),MIN(T130,ROUND(O130*S130,0)),"미산정")</x:f>
        <x:v>미산정</x:v>
      </x:c>
      <x:c r="V130" s="72" t="str">
        <x:f>IF(ISNUMBER(O130),T130-U130,"미산정")</x:f>
        <x:v>미산정</x:v>
      </x:c>
      <x:c r="W130" s="72" t="str">
        <x:f>IF(ISNUMBER(O130),O130-T130,"미산정")</x:f>
        <x:v>미산정</x:v>
      </x:c>
      <x:c r="X130" s="72" t="str">
        <x:f>IF(ISNUMBER(O130),O130-U130,"미산정")</x:f>
        <x:v>미산정</x:v>
      </x:c>
    </x:row>
    <x:row r="131" ht="44" customHeight="1">
      <x:c r="A131" s="24" t="n">
        <x:v>121</x:v>
      </x:c>
      <x:c r="B131" s="24" t="str">
        <x:v>105동</x:v>
      </x:c>
      <x:c r="C131" s="13" t="str">
        <x:v>시스템동바리 조립</x:v>
      </x:c>
      <x:c r="D131" s="13" t="str">
        <x:v>SB-1212</x:v>
      </x:c>
      <x:c r="E131" s="13" t="str">
        <x:v>가새재</x:v>
      </x:c>
      <x:c r="F131" s="13" t="str">
        <x:v>DSD-1212 / L=1,609mm</x:v>
      </x:c>
      <x:c r="G131" s="13" t="str">
        <x:v>본</x:v>
      </x:c>
      <x:c r="H131" s="17" t="n">
        <x:v>103</x:v>
      </x:c>
      <x:c r="I131" s="26" t="n">
        <x:v>20</x:v>
      </x:c>
      <x:c r="J131" s="26" t="n">
        <x:v>22</x:v>
      </x:c>
      <x:c r="K131" s="26" t="n">
        <x:v>19</x:v>
      </x:c>
      <x:c r="L131" s="13" t="str">
        <x:v>미등록</x:v>
      </x:c>
      <x:c r="M131" s="13" t="str">
        <x:v>미산정</x:v>
      </x:c>
      <x:c r="N131" s="28" t="str">
        <x:v>미산정</x:v>
      </x:c>
      <x:c r="O131" s="31" t="str">
        <x:f>IF(AND(N131="반영",ISNUMBER(H131)),H131,"미산정")</x:f>
        <x:v>미산정</x:v>
      </x:c>
      <x:c r="P131" s="28" t="str">
        <x:v>해당 없음</x:v>
      </x:c>
      <x:c r="Q131" s="14" t="str">
        <x:v>원자료 치수·DSD 코드와 웹 P·H·OB 규격의 동일성 미확인</x:v>
      </x:c>
      <x:c r="R131" s="65" t="n">
        <x:f>K131</x:f>
        <x:v>19</x:v>
      </x:c>
      <x:c r="S131" s="67" t="n">
        <x:f>MAX(0,MIN(1,($B$15-I131+1)/(J131-I131+1)))</x:f>
        <x:v>0</x:v>
      </x:c>
      <x:c r="T131" s="71" t="str">
        <x:f>IF(ISNUMBER(O131),IF(R131&lt;=$B$15,O131,0),"미산정")</x:f>
        <x:v>미산정</x:v>
      </x:c>
      <x:c r="U131" s="71" t="str">
        <x:f>IF(ISNUMBER(O131),MIN(T131,ROUND(O131*S131,0)),"미산정")</x:f>
        <x:v>미산정</x:v>
      </x:c>
      <x:c r="V131" s="71" t="str">
        <x:f>IF(ISNUMBER(O131),T131-U131,"미산정")</x:f>
        <x:v>미산정</x:v>
      </x:c>
      <x:c r="W131" s="71" t="str">
        <x:f>IF(ISNUMBER(O131),O131-T131,"미산정")</x:f>
        <x:v>미산정</x:v>
      </x:c>
      <x:c r="X131" s="71" t="str">
        <x:f>IF(ISNUMBER(O131),O131-U131,"미산정")</x:f>
        <x:v>미산정</x:v>
      </x:c>
    </x:row>
    <x:row r="132" ht="44" customHeight="1">
      <x:c r="A132" s="25" t="n">
        <x:v>122</x:v>
      </x:c>
      <x:c r="B132" s="25" t="str">
        <x:v>105동</x:v>
      </x:c>
      <x:c r="C132" s="6" t="str">
        <x:v>시스템동바리 조립</x:v>
      </x:c>
      <x:c r="D132" s="6" t="str">
        <x:v>SB-0812</x:v>
      </x:c>
      <x:c r="E132" s="6" t="str">
        <x:v>가새재</x:v>
      </x:c>
      <x:c r="F132" s="6" t="str">
        <x:v>DSD-0812 / L=1,290mm</x:v>
      </x:c>
      <x:c r="G132" s="6" t="str">
        <x:v>본</x:v>
      </x:c>
      <x:c r="H132" s="18" t="n">
        <x:v>303</x:v>
      </x:c>
      <x:c r="I132" s="27" t="n">
        <x:v>20</x:v>
      </x:c>
      <x:c r="J132" s="27" t="n">
        <x:v>22</x:v>
      </x:c>
      <x:c r="K132" s="27" t="n">
        <x:v>19</x:v>
      </x:c>
      <x:c r="L132" s="6" t="str">
        <x:v>미등록</x:v>
      </x:c>
      <x:c r="M132" s="6" t="str">
        <x:v>미산정</x:v>
      </x:c>
      <x:c r="N132" s="28" t="str">
        <x:v>미산정</x:v>
      </x:c>
      <x:c r="O132" s="31" t="str">
        <x:f>IF(AND(N132="반영",ISNUMBER(H132)),H132,"미산정")</x:f>
        <x:v>미산정</x:v>
      </x:c>
      <x:c r="P132" s="28" t="str">
        <x:v>해당 없음</x:v>
      </x:c>
      <x:c r="Q132" s="14" t="str">
        <x:v>원자료 치수·DSD 코드와 웹 P·H·OB 규격의 동일성 미확인</x:v>
      </x:c>
      <x:c r="R132" s="65" t="n">
        <x:f>K132</x:f>
        <x:v>19</x:v>
      </x:c>
      <x:c r="S132" s="68" t="n">
        <x:f>MAX(0,MIN(1,($B$15-I132+1)/(J132-I132+1)))</x:f>
        <x:v>0</x:v>
      </x:c>
      <x:c r="T132" s="72" t="str">
        <x:f>IF(ISNUMBER(O132),IF(R132&lt;=$B$15,O132,0),"미산정")</x:f>
        <x:v>미산정</x:v>
      </x:c>
      <x:c r="U132" s="72" t="str">
        <x:f>IF(ISNUMBER(O132),MIN(T132,ROUND(O132*S132,0)),"미산정")</x:f>
        <x:v>미산정</x:v>
      </x:c>
      <x:c r="V132" s="72" t="str">
        <x:f>IF(ISNUMBER(O132),T132-U132,"미산정")</x:f>
        <x:v>미산정</x:v>
      </x:c>
      <x:c r="W132" s="72" t="str">
        <x:f>IF(ISNUMBER(O132),O132-T132,"미산정")</x:f>
        <x:v>미산정</x:v>
      </x:c>
      <x:c r="X132" s="72" t="str">
        <x:f>IF(ISNUMBER(O132),O132-U132,"미산정")</x:f>
        <x:v>미산정</x:v>
      </x:c>
    </x:row>
    <x:row r="133" ht="44" customHeight="1">
      <x:c r="A133" s="24" t="n">
        <x:v>123</x:v>
      </x:c>
      <x:c r="B133" s="24" t="str">
        <x:v>105동</x:v>
      </x:c>
      <x:c r="C133" s="13" t="str">
        <x:v>시스템동바리 조립</x:v>
      </x:c>
      <x:c r="D133" s="13" t="str">
        <x:v>UJ-600</x:v>
      </x:c>
      <x:c r="E133" s="13" t="str">
        <x:v>U헤드 잭</x:v>
      </x:c>
      <x:c r="F133" s="13" t="str">
        <x:v>Ø45 / L=600mm</x:v>
      </x:c>
      <x:c r="G133" s="13" t="str">
        <x:v>개</x:v>
      </x:c>
      <x:c r="H133" s="17" t="n">
        <x:v>630</x:v>
      </x:c>
      <x:c r="I133" s="26" t="n">
        <x:v>20</x:v>
      </x:c>
      <x:c r="J133" s="26" t="n">
        <x:v>22</x:v>
      </x:c>
      <x:c r="K133" s="26" t="n">
        <x:v>19</x:v>
      </x:c>
      <x:c r="L133" s="13" t="str">
        <x:v>시스템서포트</x:v>
      </x:c>
      <x:c r="M133" s="13" t="str">
        <x:v>동바리 상부자키</x:v>
      </x:c>
      <x:c r="N133" s="24" t="str">
        <x:v>반영</x:v>
      </x:c>
      <x:c r="O133" s="29" t="n">
        <x:f>IF(AND(N133="반영",ISNUMBER(H133)),H133,"미산정")</x:f>
        <x:v>630</x:v>
      </x:c>
      <x:c r="P133" s="24" t="str">
        <x:v>해당 없음</x:v>
      </x:c>
      <x:c r="Q133" s="13" t="str">
        <x:v>U헤드 잭 → 등록된 동바리 상부자키. 원자료 치수 별도 보존</x:v>
      </x:c>
      <x:c r="R133" s="65" t="n">
        <x:f>K133</x:f>
        <x:v>19</x:v>
      </x:c>
      <x:c r="S133" s="67" t="n">
        <x:f>MAX(0,MIN(1,($B$15-I133+1)/(J133-I133+1)))</x:f>
        <x:v>0</x:v>
      </x:c>
      <x:c r="T133" s="71" t="n">
        <x:f>IF(ISNUMBER(O133),IF(R133&lt;=$B$15,O133,0),"미산정")</x:f>
        <x:v>0</x:v>
      </x:c>
      <x:c r="U133" s="71" t="n">
        <x:f>IF(ISNUMBER(O133),MIN(T133,ROUND(O133*S133,0)),"미산정")</x:f>
        <x:v>0</x:v>
      </x:c>
      <x:c r="V133" s="71" t="n">
        <x:f>IF(ISNUMBER(O133),T133-U133,"미산정")</x:f>
        <x:v>0</x:v>
      </x:c>
      <x:c r="W133" s="71" t="n">
        <x:f>IF(ISNUMBER(O133),O133-T133,"미산정")</x:f>
        <x:v>630</x:v>
      </x:c>
      <x:c r="X133" s="71" t="n">
        <x:f>IF(ISNUMBER(O133),O133-U133,"미산정")</x:f>
        <x:v>630</x:v>
      </x:c>
    </x:row>
    <x:row r="134" ht="44" customHeight="1">
      <x:c r="A134" s="25" t="n">
        <x:v>124</x:v>
      </x:c>
      <x:c r="B134" s="25" t="str">
        <x:v>105동</x:v>
      </x:c>
      <x:c r="C134" s="6" t="str">
        <x:v>시스템동바리 조립</x:v>
      </x:c>
      <x:c r="D134" s="6" t="str">
        <x:v>BJ-600</x:v>
      </x:c>
      <x:c r="E134" s="6" t="str">
        <x:v>베이스 잭</x:v>
      </x:c>
      <x:c r="F134" s="6" t="str">
        <x:v>Ø45 / L=600mm</x:v>
      </x:c>
      <x:c r="G134" s="6" t="str">
        <x:v>개</x:v>
      </x:c>
      <x:c r="H134" s="18" t="n">
        <x:v>630</x:v>
      </x:c>
      <x:c r="I134" s="27" t="n">
        <x:v>20</x:v>
      </x:c>
      <x:c r="J134" s="27" t="n">
        <x:v>22</x:v>
      </x:c>
      <x:c r="K134" s="27" t="n">
        <x:v>19</x:v>
      </x:c>
      <x:c r="L134" s="6" t="str">
        <x:v>시스템서포트</x:v>
      </x:c>
      <x:c r="M134" s="6" t="str">
        <x:v>동바리 하부자키</x:v>
      </x:c>
      <x:c r="N134" s="25" t="str">
        <x:v>반영</x:v>
      </x:c>
      <x:c r="O134" s="30" t="n">
        <x:f>IF(AND(N134="반영",ISNUMBER(H134)),H134,"미산정")</x:f>
        <x:v>630</x:v>
      </x:c>
      <x:c r="P134" s="25" t="str">
        <x:v>해당 없음</x:v>
      </x:c>
      <x:c r="Q134" s="6" t="str">
        <x:v>베이스 잭 → 등록된 동바리 하부자키. 원자료 치수 별도 보존</x:v>
      </x:c>
      <x:c r="R134" s="65" t="n">
        <x:f>K134</x:f>
        <x:v>19</x:v>
      </x:c>
      <x:c r="S134" s="68" t="n">
        <x:f>MAX(0,MIN(1,($B$15-I134+1)/(J134-I134+1)))</x:f>
        <x:v>0</x:v>
      </x:c>
      <x:c r="T134" s="72" t="n">
        <x:f>IF(ISNUMBER(O134),IF(R134&lt;=$B$15,O134,0),"미산정")</x:f>
        <x:v>0</x:v>
      </x:c>
      <x:c r="U134" s="72" t="n">
        <x:f>IF(ISNUMBER(O134),MIN(T134,ROUND(O134*S134,0)),"미산정")</x:f>
        <x:v>0</x:v>
      </x:c>
      <x:c r="V134" s="72" t="n">
        <x:f>IF(ISNUMBER(O134),T134-U134,"미산정")</x:f>
        <x:v>0</x:v>
      </x:c>
      <x:c r="W134" s="72" t="n">
        <x:f>IF(ISNUMBER(O134),O134-T134,"미산정")</x:f>
        <x:v>630</x:v>
      </x:c>
      <x:c r="X134" s="72" t="n">
        <x:f>IF(ISNUMBER(O134),O134-U134,"미산정")</x:f>
        <x:v>630</x:v>
      </x:c>
    </x:row>
    <x:row r="135" ht="44" customHeight="1">
      <x:c r="A135" s="24" t="n">
        <x:v>125</x:v>
      </x:c>
      <x:c r="B135" s="24" t="str">
        <x:v>105동</x:v>
      </x:c>
      <x:c r="C135" s="13" t="str">
        <x:v>시스템동바리 조립</x:v>
      </x:c>
      <x:c r="D135" s="13" t="str">
        <x:v>CP-120</x:v>
      </x:c>
      <x:c r="E135" s="13" t="str">
        <x:v>연결 카프링</x:v>
      </x:c>
      <x:c r="F135" s="13" t="str">
        <x:v>Ø60.5 / L=120mm</x:v>
      </x:c>
      <x:c r="G135" s="13" t="str">
        <x:v>개</x:v>
      </x:c>
      <x:c r="H135" s="17" t="n">
        <x:v>1260</x:v>
      </x:c>
      <x:c r="I135" s="26" t="n">
        <x:v>20</x:v>
      </x:c>
      <x:c r="J135" s="26" t="n">
        <x:v>22</x:v>
      </x:c>
      <x:c r="K135" s="26" t="n">
        <x:v>19</x:v>
      </x:c>
      <x:c r="L135" s="13" t="str">
        <x:v>시스템서포트</x:v>
      </x:c>
      <x:c r="M135" s="13" t="str">
        <x:v>카플링(소켓)</x:v>
      </x:c>
      <x:c r="N135" s="24" t="str">
        <x:v>반영</x:v>
      </x:c>
      <x:c r="O135" s="29" t="n">
        <x:f>IF(AND(N135="반영",ISNUMBER(H135)),H135,"미산정")</x:f>
        <x:v>1260</x:v>
      </x:c>
      <x:c r="P135" s="24" t="str">
        <x:v>해당 없음</x:v>
      </x:c>
      <x:c r="Q135" s="13" t="str">
        <x:v>연결 카플링 → 등록된 카플링(소켓). 원자료 치수 별도 보존</x:v>
      </x:c>
      <x:c r="R135" s="65" t="n">
        <x:f>K135</x:f>
        <x:v>19</x:v>
      </x:c>
      <x:c r="S135" s="67" t="n">
        <x:f>MAX(0,MIN(1,($B$15-I135+1)/(J135-I135+1)))</x:f>
        <x:v>0</x:v>
      </x:c>
      <x:c r="T135" s="71" t="n">
        <x:f>IF(ISNUMBER(O135),IF(R135&lt;=$B$15,O135,0),"미산정")</x:f>
        <x:v>0</x:v>
      </x:c>
      <x:c r="U135" s="71" t="n">
        <x:f>IF(ISNUMBER(O135),MIN(T135,ROUND(O135*S135,0)),"미산정")</x:f>
        <x:v>0</x:v>
      </x:c>
      <x:c r="V135" s="71" t="n">
        <x:f>IF(ISNUMBER(O135),T135-U135,"미산정")</x:f>
        <x:v>0</x:v>
      </x:c>
      <x:c r="W135" s="71" t="n">
        <x:f>IF(ISNUMBER(O135),O135-T135,"미산정")</x:f>
        <x:v>1260</x:v>
      </x:c>
      <x:c r="X135" s="71" t="n">
        <x:f>IF(ISNUMBER(O135),O135-U135,"미산정")</x:f>
        <x:v>1260</x:v>
      </x:c>
    </x:row>
    <x:row r="136" ht="44" customHeight="1">
      <x:c r="A136" s="25" t="n">
        <x:v>126</x:v>
      </x:c>
      <x:c r="B136" s="25" t="str">
        <x:v>105동</x:v>
      </x:c>
      <x:c r="C136" s="6" t="str">
        <x:v>보·슬래브 거푸집</x:v>
      </x:c>
      <x:c r="D136" s="6" t="str">
        <x:v>PW-1224</x:v>
      </x:c>
      <x:c r="E136" s="6" t="str">
        <x:v>코팅합판</x:v>
      </x:c>
      <x:c r="F136" s="6" t="str">
        <x:v>1,220×2,440×12mm</x:v>
      </x:c>
      <x:c r="G136" s="6" t="str">
        <x:v>장</x:v>
      </x:c>
      <x:c r="H136" s="18" t="n">
        <x:v>415</x:v>
      </x:c>
      <x:c r="I136" s="27" t="n">
        <x:v>23</x:v>
      </x:c>
      <x:c r="J136" s="27" t="n">
        <x:v>26</x:v>
      </x:c>
      <x:c r="K136" s="27" t="n">
        <x:v>22</x:v>
      </x:c>
      <x:c r="L136" s="6" t="str">
        <x:v>미등록</x:v>
      </x:c>
      <x:c r="M136" s="6" t="str">
        <x:v>미산정</x:v>
      </x:c>
      <x:c r="N136" s="28" t="str">
        <x:v>미산정</x:v>
      </x:c>
      <x:c r="O136" s="31" t="str">
        <x:f>IF(AND(N136="반영",ISNUMBER(H136)),H136,"미산정")</x:f>
        <x:v>미산정</x:v>
      </x:c>
      <x:c r="P136" s="28" t="str">
        <x:v>해당 없음</x:v>
      </x:c>
      <x:c r="Q136" s="14" t="str">
        <x:v>현재 웹 등록 품목에 없음. 다른 품목으로 대체하지 않음</x:v>
      </x:c>
      <x:c r="R136" s="65" t="n">
        <x:f>K136</x:f>
        <x:v>22</x:v>
      </x:c>
      <x:c r="S136" s="68" t="n">
        <x:f>MAX(0,MIN(1,($B$15-I136+1)/(J136-I136+1)))</x:f>
        <x:v>0</x:v>
      </x:c>
      <x:c r="T136" s="72" t="str">
        <x:f>IF(ISNUMBER(O136),IF(R136&lt;=$B$15,O136,0),"미산정")</x:f>
        <x:v>미산정</x:v>
      </x:c>
      <x:c r="U136" s="72" t="str">
        <x:f>IF(ISNUMBER(O136),MIN(T136,ROUND(O136*S136,0)),"미산정")</x:f>
        <x:v>미산정</x:v>
      </x:c>
      <x:c r="V136" s="72" t="str">
        <x:f>IF(ISNUMBER(O136),T136-U136,"미산정")</x:f>
        <x:v>미산정</x:v>
      </x:c>
      <x:c r="W136" s="72" t="str">
        <x:f>IF(ISNUMBER(O136),O136-T136,"미산정")</x:f>
        <x:v>미산정</x:v>
      </x:c>
      <x:c r="X136" s="72" t="str">
        <x:f>IF(ISNUMBER(O136),O136-U136,"미산정")</x:f>
        <x:v>미산정</x:v>
      </x:c>
    </x:row>
    <x:row r="137" ht="44" customHeight="1">
      <x:c r="A137" s="24" t="n">
        <x:v>127</x:v>
      </x:c>
      <x:c r="B137" s="24" t="str">
        <x:v>105동</x:v>
      </x:c>
      <x:c r="C137" s="13" t="str">
        <x:v>보·슬래브 거푸집</x:v>
      </x:c>
      <x:c r="D137" s="13" t="str">
        <x:v>JO-4000</x:v>
      </x:c>
      <x:c r="E137" s="13" t="str">
        <x:v>각관 장선</x:v>
      </x:c>
      <x:c r="F137" s="13" t="str">
        <x:v>50×50×2.3mm / L=4,000mm</x:v>
      </x:c>
      <x:c r="G137" s="13" t="str">
        <x:v>본</x:v>
      </x:c>
      <x:c r="H137" s="17" t="n">
        <x:v>771</x:v>
      </x:c>
      <x:c r="I137" s="26" t="n">
        <x:v>23</x:v>
      </x:c>
      <x:c r="J137" s="26" t="n">
        <x:v>26</x:v>
      </x:c>
      <x:c r="K137" s="26" t="n">
        <x:v>22</x:v>
      </x:c>
      <x:c r="L137" s="13" t="str">
        <x:v>미등록</x:v>
      </x:c>
      <x:c r="M137" s="13" t="str">
        <x:v>미산정</x:v>
      </x:c>
      <x:c r="N137" s="28" t="str">
        <x:v>미산정</x:v>
      </x:c>
      <x:c r="O137" s="31" t="str">
        <x:f>IF(AND(N137="반영",ISNUMBER(H137)),H137,"미산정")</x:f>
        <x:v>미산정</x:v>
      </x:c>
      <x:c r="P137" s="28" t="str">
        <x:v>해당 없음</x:v>
      </x:c>
      <x:c r="Q137" s="14" t="str">
        <x:v>현재 웹 등록 품목에 없음. 다른 품목으로 대체하지 않음</x:v>
      </x:c>
      <x:c r="R137" s="65" t="n">
        <x:f>K137</x:f>
        <x:v>22</x:v>
      </x:c>
      <x:c r="S137" s="67" t="n">
        <x:f>MAX(0,MIN(1,($B$15-I137+1)/(J137-I137+1)))</x:f>
        <x:v>0</x:v>
      </x:c>
      <x:c r="T137" s="71" t="str">
        <x:f>IF(ISNUMBER(O137),IF(R137&lt;=$B$15,O137,0),"미산정")</x:f>
        <x:v>미산정</x:v>
      </x:c>
      <x:c r="U137" s="71" t="str">
        <x:f>IF(ISNUMBER(O137),MIN(T137,ROUND(O137*S137,0)),"미산정")</x:f>
        <x:v>미산정</x:v>
      </x:c>
      <x:c r="V137" s="71" t="str">
        <x:f>IF(ISNUMBER(O137),T137-U137,"미산정")</x:f>
        <x:v>미산정</x:v>
      </x:c>
      <x:c r="W137" s="71" t="str">
        <x:f>IF(ISNUMBER(O137),O137-T137,"미산정")</x:f>
        <x:v>미산정</x:v>
      </x:c>
      <x:c r="X137" s="71" t="str">
        <x:f>IF(ISNUMBER(O137),O137-U137,"미산정")</x:f>
        <x:v>미산정</x:v>
      </x:c>
    </x:row>
    <x:row r="138" ht="44" customHeight="1">
      <x:c r="A138" s="25" t="n">
        <x:v>128</x:v>
      </x:c>
      <x:c r="B138" s="25" t="str">
        <x:v>105동</x:v>
      </x:c>
      <x:c r="C138" s="6" t="str">
        <x:v>보·슬래브 거푸집</x:v>
      </x:c>
      <x:c r="D138" s="6" t="str">
        <x:v>BE-3000</x:v>
      </x:c>
      <x:c r="E138" s="6" t="str">
        <x:v>시스템 멍에</x:v>
      </x:c>
      <x:c r="F138" s="6" t="str">
        <x:v>선정 제품 길이 3,000mm</x:v>
      </x:c>
      <x:c r="G138" s="6" t="str">
        <x:v>본</x:v>
      </x:c>
      <x:c r="H138" s="18" t="n">
        <x:v>265</x:v>
      </x:c>
      <x:c r="I138" s="27" t="n">
        <x:v>23</x:v>
      </x:c>
      <x:c r="J138" s="27" t="n">
        <x:v>26</x:v>
      </x:c>
      <x:c r="K138" s="27" t="n">
        <x:v>22</x:v>
      </x:c>
      <x:c r="L138" s="6" t="str">
        <x:v>미등록</x:v>
      </x:c>
      <x:c r="M138" s="6" t="str">
        <x:v>미산정</x:v>
      </x:c>
      <x:c r="N138" s="28" t="str">
        <x:v>미산정</x:v>
      </x:c>
      <x:c r="O138" s="31" t="str">
        <x:f>IF(AND(N138="반영",ISNUMBER(H138)),H138,"미산정")</x:f>
        <x:v>미산정</x:v>
      </x:c>
      <x:c r="P138" s="28" t="str">
        <x:v>해당 없음</x:v>
      </x:c>
      <x:c r="Q138" s="14" t="str">
        <x:v>현재 웹 등록 품목에 없음. 다른 품목으로 대체하지 않음</x:v>
      </x:c>
      <x:c r="R138" s="65" t="n">
        <x:f>K138</x:f>
        <x:v>22</x:v>
      </x:c>
      <x:c r="S138" s="68" t="n">
        <x:f>MAX(0,MIN(1,($B$15-I138+1)/(J138-I138+1)))</x:f>
        <x:v>0</x:v>
      </x:c>
      <x:c r="T138" s="72" t="str">
        <x:f>IF(ISNUMBER(O138),IF(R138&lt;=$B$15,O138,0),"미산정")</x:f>
        <x:v>미산정</x:v>
      </x:c>
      <x:c r="U138" s="72" t="str">
        <x:f>IF(ISNUMBER(O138),MIN(T138,ROUND(O138*S138,0)),"미산정")</x:f>
        <x:v>미산정</x:v>
      </x:c>
      <x:c r="V138" s="72" t="str">
        <x:f>IF(ISNUMBER(O138),T138-U138,"미산정")</x:f>
        <x:v>미산정</x:v>
      </x:c>
      <x:c r="W138" s="72" t="str">
        <x:f>IF(ISNUMBER(O138),O138-T138,"미산정")</x:f>
        <x:v>미산정</x:v>
      </x:c>
      <x:c r="X138" s="72" t="str">
        <x:f>IF(ISNUMBER(O138),O138-U138,"미산정")</x:f>
        <x:v>미산정</x:v>
      </x:c>
    </x:row>
    <x:row r="139" ht="44" customHeight="1">
      <x:c r="A139" s="24" t="n">
        <x:v>129</x:v>
      </x:c>
      <x:c r="B139" s="24" t="str">
        <x:v>105동</x:v>
      </x:c>
      <x:c r="C139" s="13" t="str">
        <x:v>보·슬래브 철근배근</x:v>
      </x:c>
      <x:c r="D139" s="13" t="str">
        <x:v>RB-D10</x:v>
      </x:c>
      <x:c r="E139" s="13" t="str">
        <x:v>철근</x:v>
      </x:c>
      <x:c r="F139" s="13" t="str">
        <x:v>SD500 D10 / 부위별 공장 가공</x:v>
      </x:c>
      <x:c r="G139" s="13" t="str">
        <x:v>kg</x:v>
      </x:c>
      <x:c r="H139" s="17" t="n">
        <x:v>3250</x:v>
      </x:c>
      <x:c r="I139" s="26" t="n">
        <x:v>27</x:v>
      </x:c>
      <x:c r="J139" s="26" t="n">
        <x:v>29</x:v>
      </x:c>
      <x:c r="K139" s="26" t="n">
        <x:v>26</x:v>
      </x:c>
      <x:c r="L139" s="13" t="str">
        <x:v>철근</x:v>
      </x:c>
      <x:c r="M139" s="13" t="str">
        <x:v>D10</x:v>
      </x:c>
      <x:c r="N139" s="24" t="str">
        <x:v>반영</x:v>
      </x:c>
      <x:c r="O139" s="29" t="n">
        <x:f>IF(AND(N139="반영",ISNUMBER(H139)),H139,"미산정")</x:f>
        <x:v>3250</x:v>
      </x:c>
      <x:c r="P139" s="24" t="str">
        <x:v>미제공</x:v>
      </x:c>
      <x:c r="Q139" s="13" t="str">
        <x:v>등록 품목·규격과 일치</x:v>
      </x:c>
      <x:c r="R139" s="65" t="n">
        <x:f>K139</x:f>
        <x:v>26</x:v>
      </x:c>
      <x:c r="S139" s="67" t="n">
        <x:f>MAX(0,MIN(1,($B$15-I139+1)/(J139-I139+1)))</x:f>
        <x:v>0</x:v>
      </x:c>
      <x:c r="T139" s="71" t="n">
        <x:f>IF(ISNUMBER(O139),IF(R139&lt;=$B$15,O139,0),"미산정")</x:f>
        <x:v>0</x:v>
      </x:c>
      <x:c r="U139" s="71" t="n">
        <x:f>IF(ISNUMBER(O139),MIN(T139,ROUND(O139*S139,0)),"미산정")</x:f>
        <x:v>0</x:v>
      </x:c>
      <x:c r="V139" s="71" t="n">
        <x:f>IF(ISNUMBER(O139),T139-U139,"미산정")</x:f>
        <x:v>0</x:v>
      </x:c>
      <x:c r="W139" s="71" t="n">
        <x:f>IF(ISNUMBER(O139),O139-T139,"미산정")</x:f>
        <x:v>3250</x:v>
      </x:c>
      <x:c r="X139" s="71" t="n">
        <x:f>IF(ISNUMBER(O139),O139-U139,"미산정")</x:f>
        <x:v>3250</x:v>
      </x:c>
    </x:row>
    <x:row r="140" ht="44" customHeight="1">
      <x:c r="A140" s="25" t="n">
        <x:v>130</x:v>
      </x:c>
      <x:c r="B140" s="25" t="str">
        <x:v>105동</x:v>
      </x:c>
      <x:c r="C140" s="6" t="str">
        <x:v>보·슬래브 철근배근</x:v>
      </x:c>
      <x:c r="D140" s="6" t="str">
        <x:v>RB-D13</x:v>
      </x:c>
      <x:c r="E140" s="6" t="str">
        <x:v>철근</x:v>
      </x:c>
      <x:c r="F140" s="6" t="str">
        <x:v>SD500 D13 / 부위별 공장 가공</x:v>
      </x:c>
      <x:c r="G140" s="6" t="str">
        <x:v>kg</x:v>
      </x:c>
      <x:c r="H140" s="18" t="n">
        <x:v>8110</x:v>
      </x:c>
      <x:c r="I140" s="27" t="n">
        <x:v>27</x:v>
      </x:c>
      <x:c r="J140" s="27" t="n">
        <x:v>29</x:v>
      </x:c>
      <x:c r="K140" s="27" t="n">
        <x:v>26</x:v>
      </x:c>
      <x:c r="L140" s="6" t="str">
        <x:v>철근</x:v>
      </x:c>
      <x:c r="M140" s="6" t="str">
        <x:v>D13</x:v>
      </x:c>
      <x:c r="N140" s="25" t="str">
        <x:v>반영</x:v>
      </x:c>
      <x:c r="O140" s="30" t="n">
        <x:f>IF(AND(N140="반영",ISNUMBER(H140)),H140,"미산정")</x:f>
        <x:v>8110</x:v>
      </x:c>
      <x:c r="P140" s="25" t="str">
        <x:v>미제공</x:v>
      </x:c>
      <x:c r="Q140" s="6" t="str">
        <x:v>등록 품목·규격과 일치</x:v>
      </x:c>
      <x:c r="R140" s="65" t="n">
        <x:f>K140</x:f>
        <x:v>26</x:v>
      </x:c>
      <x:c r="S140" s="68" t="n">
        <x:f>MAX(0,MIN(1,($B$15-I140+1)/(J140-I140+1)))</x:f>
        <x:v>0</x:v>
      </x:c>
      <x:c r="T140" s="72" t="n">
        <x:f>IF(ISNUMBER(O140),IF(R140&lt;=$B$15,O140,0),"미산정")</x:f>
        <x:v>0</x:v>
      </x:c>
      <x:c r="U140" s="72" t="n">
        <x:f>IF(ISNUMBER(O140),MIN(T140,ROUND(O140*S140,0)),"미산정")</x:f>
        <x:v>0</x:v>
      </x:c>
      <x:c r="V140" s="72" t="n">
        <x:f>IF(ISNUMBER(O140),T140-U140,"미산정")</x:f>
        <x:v>0</x:v>
      </x:c>
      <x:c r="W140" s="72" t="n">
        <x:f>IF(ISNUMBER(O140),O140-T140,"미산정")</x:f>
        <x:v>8110</x:v>
      </x:c>
      <x:c r="X140" s="72" t="n">
        <x:f>IF(ISNUMBER(O140),O140-U140,"미산정")</x:f>
        <x:v>8110</x:v>
      </x:c>
    </x:row>
    <x:row r="141" ht="44" customHeight="1">
      <x:c r="A141" s="24" t="n">
        <x:v>131</x:v>
      </x:c>
      <x:c r="B141" s="24" t="str">
        <x:v>105동</x:v>
      </x:c>
      <x:c r="C141" s="13" t="str">
        <x:v>보·슬래브 철근배근</x:v>
      </x:c>
      <x:c r="D141" s="13" t="str">
        <x:v>RB-D16</x:v>
      </x:c>
      <x:c r="E141" s="13" t="str">
        <x:v>철근</x:v>
      </x:c>
      <x:c r="F141" s="13" t="str">
        <x:v>SD500 D16 / 부위별 공장 가공</x:v>
      </x:c>
      <x:c r="G141" s="13" t="str">
        <x:v>kg</x:v>
      </x:c>
      <x:c r="H141" s="17" t="n">
        <x:v>6490</x:v>
      </x:c>
      <x:c r="I141" s="26" t="n">
        <x:v>27</x:v>
      </x:c>
      <x:c r="J141" s="26" t="n">
        <x:v>29</x:v>
      </x:c>
      <x:c r="K141" s="26" t="n">
        <x:v>26</x:v>
      </x:c>
      <x:c r="L141" s="13" t="str">
        <x:v>철근</x:v>
      </x:c>
      <x:c r="M141" s="13" t="str">
        <x:v>D16</x:v>
      </x:c>
      <x:c r="N141" s="24" t="str">
        <x:v>반영</x:v>
      </x:c>
      <x:c r="O141" s="29" t="n">
        <x:f>IF(AND(N141="반영",ISNUMBER(H141)),H141,"미산정")</x:f>
        <x:v>6490</x:v>
      </x:c>
      <x:c r="P141" s="24" t="str">
        <x:v>미제공</x:v>
      </x:c>
      <x:c r="Q141" s="13" t="str">
        <x:v>등록 품목·규격과 일치</x:v>
      </x:c>
      <x:c r="R141" s="65" t="n">
        <x:f>K141</x:f>
        <x:v>26</x:v>
      </x:c>
      <x:c r="S141" s="67" t="n">
        <x:f>MAX(0,MIN(1,($B$15-I141+1)/(J141-I141+1)))</x:f>
        <x:v>0</x:v>
      </x:c>
      <x:c r="T141" s="71" t="n">
        <x:f>IF(ISNUMBER(O141),IF(R141&lt;=$B$15,O141,0),"미산정")</x:f>
        <x:v>0</x:v>
      </x:c>
      <x:c r="U141" s="71" t="n">
        <x:f>IF(ISNUMBER(O141),MIN(T141,ROUND(O141*S141,0)),"미산정")</x:f>
        <x:v>0</x:v>
      </x:c>
      <x:c r="V141" s="71" t="n">
        <x:f>IF(ISNUMBER(O141),T141-U141,"미산정")</x:f>
        <x:v>0</x:v>
      </x:c>
      <x:c r="W141" s="71" t="n">
        <x:f>IF(ISNUMBER(O141),O141-T141,"미산정")</x:f>
        <x:v>6490</x:v>
      </x:c>
      <x:c r="X141" s="71" t="n">
        <x:f>IF(ISNUMBER(O141),O141-U141,"미산정")</x:f>
        <x:v>6490</x:v>
      </x:c>
    </x:row>
    <x:row r="142" ht="44" customHeight="1">
      <x:c r="A142" s="25" t="n">
        <x:v>132</x:v>
      </x:c>
      <x:c r="B142" s="25" t="str">
        <x:v>105동</x:v>
      </x:c>
      <x:c r="C142" s="6" t="str">
        <x:v>보·슬래브 철근배근</x:v>
      </x:c>
      <x:c r="D142" s="6" t="str">
        <x:v>RB-D19</x:v>
      </x:c>
      <x:c r="E142" s="6" t="str">
        <x:v>철근</x:v>
      </x:c>
      <x:c r="F142" s="6" t="str">
        <x:v>SD500 D19 / 부위별 공장 가공</x:v>
      </x:c>
      <x:c r="G142" s="6" t="str">
        <x:v>kg</x:v>
      </x:c>
      <x:c r="H142" s="18" t="n">
        <x:v>6490</x:v>
      </x:c>
      <x:c r="I142" s="27" t="n">
        <x:v>27</x:v>
      </x:c>
      <x:c r="J142" s="27" t="n">
        <x:v>29</x:v>
      </x:c>
      <x:c r="K142" s="27" t="n">
        <x:v>26</x:v>
      </x:c>
      <x:c r="L142" s="6" t="str">
        <x:v>철근</x:v>
      </x:c>
      <x:c r="M142" s="6" t="str">
        <x:v>D19</x:v>
      </x:c>
      <x:c r="N142" s="25" t="str">
        <x:v>반영</x:v>
      </x:c>
      <x:c r="O142" s="30" t="n">
        <x:f>IF(AND(N142="반영",ISNUMBER(H142)),H142,"미산정")</x:f>
        <x:v>6490</x:v>
      </x:c>
      <x:c r="P142" s="25" t="str">
        <x:v>미제공</x:v>
      </x:c>
      <x:c r="Q142" s="6" t="str">
        <x:v>등록 품목·규격과 일치</x:v>
      </x:c>
      <x:c r="R142" s="65" t="n">
        <x:f>K142</x:f>
        <x:v>26</x:v>
      </x:c>
      <x:c r="S142" s="68" t="n">
        <x:f>MAX(0,MIN(1,($B$15-I142+1)/(J142-I142+1)))</x:f>
        <x:v>0</x:v>
      </x:c>
      <x:c r="T142" s="72" t="n">
        <x:f>IF(ISNUMBER(O142),IF(R142&lt;=$B$15,O142,0),"미산정")</x:f>
        <x:v>0</x:v>
      </x:c>
      <x:c r="U142" s="72" t="n">
        <x:f>IF(ISNUMBER(O142),MIN(T142,ROUND(O142*S142,0)),"미산정")</x:f>
        <x:v>0</x:v>
      </x:c>
      <x:c r="V142" s="72" t="n">
        <x:f>IF(ISNUMBER(O142),T142-U142,"미산정")</x:f>
        <x:v>0</x:v>
      </x:c>
      <x:c r="W142" s="72" t="n">
        <x:f>IF(ISNUMBER(O142),O142-T142,"미산정")</x:f>
        <x:v>6490</x:v>
      </x:c>
      <x:c r="X142" s="72" t="n">
        <x:f>IF(ISNUMBER(O142),O142-U142,"미산정")</x:f>
        <x:v>6490</x:v>
      </x:c>
    </x:row>
    <x:row r="143" ht="44" customHeight="1">
      <x:c r="A143" s="24" t="n">
        <x:v>133</x:v>
      </x:c>
      <x:c r="B143" s="24" t="str">
        <x:v>105동</x:v>
      </x:c>
      <x:c r="C143" s="13" t="str">
        <x:v>보·슬래브 철근배근</x:v>
      </x:c>
      <x:c r="D143" s="13" t="str">
        <x:v>RB-D22</x:v>
      </x:c>
      <x:c r="E143" s="13" t="str">
        <x:v>철근</x:v>
      </x:c>
      <x:c r="F143" s="13" t="str">
        <x:v>SD500 D22 / 부위별 공장 가공</x:v>
      </x:c>
      <x:c r="G143" s="13" t="str">
        <x:v>kg</x:v>
      </x:c>
      <x:c r="H143" s="17" t="n">
        <x:v>4860</x:v>
      </x:c>
      <x:c r="I143" s="26" t="n">
        <x:v>27</x:v>
      </x:c>
      <x:c r="J143" s="26" t="n">
        <x:v>29</x:v>
      </x:c>
      <x:c r="K143" s="26" t="n">
        <x:v>26</x:v>
      </x:c>
      <x:c r="L143" s="13" t="str">
        <x:v>철근</x:v>
      </x:c>
      <x:c r="M143" s="13" t="str">
        <x:v>D22</x:v>
      </x:c>
      <x:c r="N143" s="24" t="str">
        <x:v>반영</x:v>
      </x:c>
      <x:c r="O143" s="29" t="n">
        <x:f>IF(AND(N143="반영",ISNUMBER(H143)),H143,"미산정")</x:f>
        <x:v>4860</x:v>
      </x:c>
      <x:c r="P143" s="24" t="str">
        <x:v>미제공</x:v>
      </x:c>
      <x:c r="Q143" s="13" t="str">
        <x:v>등록 품목·규격과 일치</x:v>
      </x:c>
      <x:c r="R143" s="65" t="n">
        <x:f>K143</x:f>
        <x:v>26</x:v>
      </x:c>
      <x:c r="S143" s="67" t="n">
        <x:f>MAX(0,MIN(1,($B$15-I143+1)/(J143-I143+1)))</x:f>
        <x:v>0</x:v>
      </x:c>
      <x:c r="T143" s="71" t="n">
        <x:f>IF(ISNUMBER(O143),IF(R143&lt;=$B$15,O143,0),"미산정")</x:f>
        <x:v>0</x:v>
      </x:c>
      <x:c r="U143" s="71" t="n">
        <x:f>IF(ISNUMBER(O143),MIN(T143,ROUND(O143*S143,0)),"미산정")</x:f>
        <x:v>0</x:v>
      </x:c>
      <x:c r="V143" s="71" t="n">
        <x:f>IF(ISNUMBER(O143),T143-U143,"미산정")</x:f>
        <x:v>0</x:v>
      </x:c>
      <x:c r="W143" s="71" t="n">
        <x:f>IF(ISNUMBER(O143),O143-T143,"미산정")</x:f>
        <x:v>4860</x:v>
      </x:c>
      <x:c r="X143" s="71" t="n">
        <x:f>IF(ISNUMBER(O143),O143-U143,"미산정")</x:f>
        <x:v>4860</x:v>
      </x:c>
    </x:row>
    <x:row r="144" ht="44" customHeight="1">
      <x:c r="A144" s="25" t="n">
        <x:v>134</x:v>
      </x:c>
      <x:c r="B144" s="25" t="str">
        <x:v>105동</x:v>
      </x:c>
      <x:c r="C144" s="6" t="str">
        <x:v>보·슬래브 철근배근</x:v>
      </x:c>
      <x:c r="D144" s="6" t="str">
        <x:v>RB-D25</x:v>
      </x:c>
      <x:c r="E144" s="6" t="str">
        <x:v>철근</x:v>
      </x:c>
      <x:c r="F144" s="6" t="str">
        <x:v>SD500 D25 / 부위별 공장 가공</x:v>
      </x:c>
      <x:c r="G144" s="6" t="str">
        <x:v>kg</x:v>
      </x:c>
      <x:c r="H144" s="18" t="n">
        <x:v>3250</x:v>
      </x:c>
      <x:c r="I144" s="27" t="n">
        <x:v>27</x:v>
      </x:c>
      <x:c r="J144" s="27" t="n">
        <x:v>29</x:v>
      </x:c>
      <x:c r="K144" s="27" t="n">
        <x:v>26</x:v>
      </x:c>
      <x:c r="L144" s="6" t="str">
        <x:v>철근</x:v>
      </x:c>
      <x:c r="M144" s="6" t="str">
        <x:v>D25</x:v>
      </x:c>
      <x:c r="N144" s="25" t="str">
        <x:v>반영</x:v>
      </x:c>
      <x:c r="O144" s="30" t="n">
        <x:f>IF(AND(N144="반영",ISNUMBER(H144)),H144,"미산정")</x:f>
        <x:v>3250</x:v>
      </x:c>
      <x:c r="P144" s="25" t="str">
        <x:v>미제공</x:v>
      </x:c>
      <x:c r="Q144" s="6" t="str">
        <x:v>등록 품목·규격과 일치</x:v>
      </x:c>
      <x:c r="R144" s="65" t="n">
        <x:f>K144</x:f>
        <x:v>26</x:v>
      </x:c>
      <x:c r="S144" s="68" t="n">
        <x:f>MAX(0,MIN(1,($B$15-I144+1)/(J144-I144+1)))</x:f>
        <x:v>0</x:v>
      </x:c>
      <x:c r="T144" s="72" t="n">
        <x:f>IF(ISNUMBER(O144),IF(R144&lt;=$B$15,O144,0),"미산정")</x:f>
        <x:v>0</x:v>
      </x:c>
      <x:c r="U144" s="72" t="n">
        <x:f>IF(ISNUMBER(O144),MIN(T144,ROUND(O144*S144,0)),"미산정")</x:f>
        <x:v>0</x:v>
      </x:c>
      <x:c r="V144" s="72" t="n">
        <x:f>IF(ISNUMBER(O144),T144-U144,"미산정")</x:f>
        <x:v>0</x:v>
      </x:c>
      <x:c r="W144" s="72" t="n">
        <x:f>IF(ISNUMBER(O144),O144-T144,"미산정")</x:f>
        <x:v>3250</x:v>
      </x:c>
      <x:c r="X144" s="72" t="n">
        <x:f>IF(ISNUMBER(O144),O144-U144,"미산정")</x:f>
        <x:v>3250</x:v>
      </x:c>
    </x:row>
    <x:row r="145" ht="26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26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26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38" customHeight="1">
      <x:c r="A148" s="12" t="str">
        <x:v>등록 품목</x:v>
      </x:c>
      <x:c r="B148" s="12"/>
      <x:c r="C148" s="12"/>
      <x:c r="D148" s="12" t="str">
        <x:v>반영 행수</x:v>
      </x:c>
      <x:c r="E148" s="12" t="str">
        <x:v>자료 범위</x:v>
      </x:c>
      <x:c r="F148" s="12"/>
      <x:c r="G148" s="12"/>
      <x:c r="H148" s="12"/>
      <x:c r="I148" s="12"/>
      <x:c r="J148" s="12" t="str">
        <x:v>처리</x:v>
      </x:c>
      <x:c r="K148" s="12"/>
      <x:c r="L148" s="12"/>
      <x:c r="M148" s="12"/>
      <x:c r="N148" s="12"/>
      <x:c r="O148" s="12"/>
      <x:c r="P148" s="12"/>
      <x:c r="Q148" s="12"/>
    </x:row>
    <x:row r="149" ht="32" customHeight="1">
      <x:c r="A149" s="6" t="str">
        <x:v>철근</x:v>
      </x:c>
      <x:c r="B149" s="6"/>
      <x:c r="C149" s="6"/>
      <x:c r="D149" s="6" t="n">
        <x:f>COUNTIFS($L$17:$L$144,A149,$N$17:$N$144,"반영")</x:f>
        <x:v>48</x:v>
      </x:c>
      <x:c r="E149" s="6" t="str">
        <x:v>D10·13·16·19·22·25 / 길이 미제공</x:v>
      </x:c>
      <x:c r="F149" s="6"/>
      <x:c r="G149" s="6"/>
      <x:c r="H149" s="6"/>
      <x:c r="I149" s="6"/>
      <x:c r="J149" s="6" t="str">
        <x:v>위 표에 일치하는 규격만 반영. 나머지 등록 규격의 수량은 미산정.</x:v>
      </x:c>
      <x:c r="K149" s="6"/>
      <x:c r="L149" s="6"/>
      <x:c r="M149" s="6"/>
      <x:c r="N149" s="6"/>
      <x:c r="O149" s="6"/>
      <x:c r="P149" s="6"/>
      <x:c r="Q149" s="6"/>
    </x:row>
    <x:row r="150" ht="32" customHeight="1">
      <x:c r="A150" s="6" t="str">
        <x:v>갱폼</x:v>
      </x:c>
      <x:c r="B150" s="6"/>
      <x:c r="C150" s="6"/>
      <x:c r="D150" s="6" t="n">
        <x:f>COUNTIFS($L$17:$L$144,A150,$N$17:$N$144,"반영")</x:f>
        <x:v>0</x:v>
      </x:c>
      <x:c r="E150" s="6" t="str">
        <x:v>일치하는 규격별 물량 미제공</x:v>
      </x:c>
      <x:c r="F150" s="6"/>
      <x:c r="G150" s="6"/>
      <x:c r="H150" s="6"/>
      <x:c r="I150" s="6"/>
      <x:c r="J150" s="6" t="str">
        <x:v>미산정 · 다른 품목의 물량을 전환하거나 0으로 간주하지 않음</x:v>
      </x:c>
      <x:c r="K150" s="6"/>
      <x:c r="L150" s="6"/>
      <x:c r="M150" s="6"/>
      <x:c r="N150" s="6"/>
      <x:c r="O150" s="6"/>
      <x:c r="P150" s="6"/>
      <x:c r="Q150" s="6"/>
    </x:row>
    <x:row r="151" ht="32" customHeight="1">
      <x:c r="A151" s="6" t="str">
        <x:v>유로폼</x:v>
      </x:c>
      <x:c r="B151" s="6"/>
      <x:c r="C151" s="6"/>
      <x:c r="D151" s="6" t="n">
        <x:f>COUNTIFS($L$17:$L$144,A151,$N$17:$N$144,"반영")</x:f>
        <x:v>12</x:v>
      </x:c>
      <x:c r="E151" s="6" t="str">
        <x:v>500×1200·600×1200·300×1200</x:v>
      </x:c>
      <x:c r="F151" s="6"/>
      <x:c r="G151" s="6"/>
      <x:c r="H151" s="6"/>
      <x:c r="I151" s="6"/>
      <x:c r="J151" s="6" t="str">
        <x:v>위 표에 일치하는 규격만 반영. 나머지 등록 규격의 수량은 미산정.</x:v>
      </x:c>
      <x:c r="K151" s="6"/>
      <x:c r="L151" s="6"/>
      <x:c r="M151" s="6"/>
      <x:c r="N151" s="6"/>
      <x:c r="O151" s="6"/>
      <x:c r="P151" s="6"/>
      <x:c r="Q151" s="6"/>
    </x:row>
    <x:row r="152" ht="32" customHeight="1">
      <x:c r="A152" s="6" t="str">
        <x:v>알폼</x:v>
      </x:c>
      <x:c r="B152" s="6"/>
      <x:c r="C152" s="6"/>
      <x:c r="D152" s="6" t="n">
        <x:f>COUNTIFS($L$17:$L$144,A152,$N$17:$N$144,"반영")</x:f>
        <x:v>0</x:v>
      </x:c>
      <x:c r="E152" s="6" t="str">
        <x:v>일치하는 규격별 물량 미제공</x:v>
      </x:c>
      <x:c r="F152" s="6"/>
      <x:c r="G152" s="6"/>
      <x:c r="H152" s="6"/>
      <x:c r="I152" s="6"/>
      <x:c r="J152" s="6" t="str">
        <x:v>미산정 · 다른 품목의 물량을 전환하거나 0으로 간주하지 않음</x:v>
      </x:c>
      <x:c r="K152" s="6"/>
      <x:c r="L152" s="6"/>
      <x:c r="M152" s="6"/>
      <x:c r="N152" s="6"/>
      <x:c r="O152" s="6"/>
      <x:c r="P152" s="6"/>
      <x:c r="Q152" s="6"/>
    </x:row>
    <x:row r="153" ht="32" customHeight="1">
      <x:c r="A153" s="6" t="str">
        <x:v>강관파이프</x:v>
      </x:c>
      <x:c r="B153" s="6"/>
      <x:c r="C153" s="6"/>
      <x:c r="D153" s="6" t="n">
        <x:f>COUNTIFS($L$17:$L$144,A153,$N$17:$N$144,"반영")</x:f>
        <x:v>0</x:v>
      </x:c>
      <x:c r="E153" s="6" t="str">
        <x:v>일치하는 규격별 물량 미제공</x:v>
      </x:c>
      <x:c r="F153" s="6"/>
      <x:c r="G153" s="6"/>
      <x:c r="H153" s="6"/>
      <x:c r="I153" s="6"/>
      <x:c r="J153" s="6" t="str">
        <x:v>미산정 · 다른 품목의 물량을 전환하거나 0으로 간주하지 않음</x:v>
      </x:c>
      <x:c r="K153" s="6"/>
      <x:c r="L153" s="6"/>
      <x:c r="M153" s="6"/>
      <x:c r="N153" s="6"/>
      <x:c r="O153" s="6"/>
      <x:c r="P153" s="6"/>
      <x:c r="Q153" s="6"/>
    </x:row>
    <x:row r="154" ht="32" customHeight="1">
      <x:c r="A154" s="6" t="str">
        <x:v>서포트</x:v>
      </x:c>
      <x:c r="B154" s="6"/>
      <x:c r="C154" s="6"/>
      <x:c r="D154" s="6" t="n">
        <x:f>COUNTIFS($L$17:$L$144,A154,$N$17:$N$144,"반영")</x:f>
        <x:v>0</x:v>
      </x:c>
      <x:c r="E154" s="6" t="str">
        <x:v>일치하는 규격별 물량 미제공</x:v>
      </x:c>
      <x:c r="F154" s="6"/>
      <x:c r="G154" s="6"/>
      <x:c r="H154" s="6"/>
      <x:c r="I154" s="6"/>
      <x:c r="J154" s="6" t="str">
        <x:v>미산정 · 다른 품목의 물량을 전환하거나 0으로 간주하지 않음</x:v>
      </x:c>
      <x:c r="K154" s="6"/>
      <x:c r="L154" s="6"/>
      <x:c r="M154" s="6"/>
      <x:c r="N154" s="6"/>
      <x:c r="O154" s="6"/>
      <x:c r="P154" s="6"/>
      <x:c r="Q154" s="6"/>
    </x:row>
    <x:row r="155" ht="32" customHeight="1">
      <x:c r="A155" s="6" t="str">
        <x:v>알루미늄 잭서포트</x:v>
      </x:c>
      <x:c r="B155" s="6"/>
      <x:c r="C155" s="6"/>
      <x:c r="D155" s="6" t="n">
        <x:f>COUNTIFS($L$17:$L$144,A155,$N$17:$N$144,"반영")</x:f>
        <x:v>0</x:v>
      </x:c>
      <x:c r="E155" s="6" t="str">
        <x:v>일치하는 규격별 물량 미제공</x:v>
      </x:c>
      <x:c r="F155" s="6"/>
      <x:c r="G155" s="6"/>
      <x:c r="H155" s="6"/>
      <x:c r="I155" s="6"/>
      <x:c r="J155" s="6" t="str">
        <x:v>미산정 · 다른 품목의 물량을 전환하거나 0으로 간주하지 않음</x:v>
      </x:c>
      <x:c r="K155" s="6"/>
      <x:c r="L155" s="6"/>
      <x:c r="M155" s="6"/>
      <x:c r="N155" s="6"/>
      <x:c r="O155" s="6"/>
      <x:c r="P155" s="6"/>
      <x:c r="Q155" s="6"/>
    </x:row>
    <x:row r="156" ht="32" customHeight="1">
      <x:c r="A156" s="6" t="str">
        <x:v>안전발판</x:v>
      </x:c>
      <x:c r="B156" s="6"/>
      <x:c r="C156" s="6"/>
      <x:c r="D156" s="6" t="n">
        <x:f>COUNTIFS($L$17:$L$144,A156,$N$17:$N$144,"반영")</x:f>
        <x:v>0</x:v>
      </x:c>
      <x:c r="E156" s="6" t="str">
        <x:v>일치하는 규격별 물량 미제공</x:v>
      </x:c>
      <x:c r="F156" s="6"/>
      <x:c r="G156" s="6"/>
      <x:c r="H156" s="6"/>
      <x:c r="I156" s="6"/>
      <x:c r="J156" s="6" t="str">
        <x:v>미산정 · 다른 품목의 물량을 전환하거나 0으로 간주하지 않음</x:v>
      </x:c>
      <x:c r="K156" s="6"/>
      <x:c r="L156" s="6"/>
      <x:c r="M156" s="6"/>
      <x:c r="N156" s="6"/>
      <x:c r="O156" s="6"/>
      <x:c r="P156" s="6"/>
      <x:c r="Q156" s="6"/>
    </x:row>
    <x:row r="157" ht="32" customHeight="1">
      <x:c r="A157" s="6" t="str">
        <x:v>시스템비계</x:v>
      </x:c>
      <x:c r="B157" s="6"/>
      <x:c r="C157" s="6"/>
      <x:c r="D157" s="6" t="n">
        <x:f>COUNTIFS($L$17:$L$144,A157,$N$17:$N$144,"반영")</x:f>
        <x:v>0</x:v>
      </x:c>
      <x:c r="E157" s="6" t="str">
        <x:v>일치하는 규격별 물량 미제공</x:v>
      </x:c>
      <x:c r="F157" s="6"/>
      <x:c r="G157" s="6"/>
      <x:c r="H157" s="6"/>
      <x:c r="I157" s="6"/>
      <x:c r="J157" s="6" t="str">
        <x:v>미산정 · 다른 품목의 물량을 전환하거나 0으로 간주하지 않음</x:v>
      </x:c>
      <x:c r="K157" s="6"/>
      <x:c r="L157" s="6"/>
      <x:c r="M157" s="6"/>
      <x:c r="N157" s="6"/>
      <x:c r="O157" s="6"/>
      <x:c r="P157" s="6"/>
      <x:c r="Q157" s="6"/>
    </x:row>
    <x:row r="158" ht="32" customHeight="1">
      <x:c r="A158" s="6" t="str">
        <x:v>시스템서포트</x:v>
      </x:c>
      <x:c r="B158" s="6"/>
      <x:c r="C158" s="6"/>
      <x:c r="D158" s="6" t="n">
        <x:f>COUNTIFS($L$17:$L$144,A158,$N$17:$N$144,"반영")</x:f>
        <x:v>12</x:v>
      </x:c>
      <x:c r="E158" s="6" t="str">
        <x:v>상부자키·하부자키·카플링</x:v>
      </x:c>
      <x:c r="F158" s="6"/>
      <x:c r="G158" s="6"/>
      <x:c r="H158" s="6"/>
      <x:c r="I158" s="6"/>
      <x:c r="J158" s="6" t="str">
        <x:v>위 표에 일치하는 규격만 반영. 나머지 등록 규격의 수량은 미산정.</x:v>
      </x:c>
      <x:c r="K158" s="6"/>
      <x:c r="L158" s="6"/>
      <x:c r="M158" s="6"/>
      <x:c r="N158" s="6"/>
      <x:c r="O158" s="6"/>
      <x:c r="P158" s="6"/>
      <x:c r="Q158" s="6"/>
    </x:row>
    <x:row r="159" ht="26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26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26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26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</x:sheetData>
  <x:mergeCells>
    <x:mergeCell ref="A3:Q3"/>
    <x:mergeCell ref="A4:Q4"/>
    <x:mergeCell ref="A5:Q5"/>
    <x:mergeCell ref="A6:Q6"/>
    <x:mergeCell ref="A7:Q7"/>
    <x:mergeCell ref="A8:Q8"/>
    <x:mergeCell ref="C9:Q9"/>
    <x:mergeCell ref="C10:Q10"/>
    <x:mergeCell ref="A11:Q11"/>
    <x:mergeCell ref="A12:Q12"/>
    <x:mergeCell ref="A13:Q13"/>
    <x:mergeCell ref="A148:C148"/>
    <x:mergeCell ref="E148:I148"/>
    <x:mergeCell ref="J148:Q148"/>
    <x:mergeCell ref="A149:C149"/>
    <x:mergeCell ref="E149:I149"/>
    <x:mergeCell ref="J149:Q149"/>
    <x:mergeCell ref="A150:C150"/>
    <x:mergeCell ref="E150:I150"/>
    <x:mergeCell ref="J150:Q150"/>
    <x:mergeCell ref="A151:C151"/>
    <x:mergeCell ref="E151:I151"/>
    <x:mergeCell ref="J151:Q151"/>
    <x:mergeCell ref="A152:C152"/>
    <x:mergeCell ref="E152:I152"/>
    <x:mergeCell ref="J152:Q152"/>
    <x:mergeCell ref="A153:C153"/>
    <x:mergeCell ref="E153:I153"/>
    <x:mergeCell ref="J153:Q153"/>
    <x:mergeCell ref="A154:C154"/>
    <x:mergeCell ref="E154:I154"/>
    <x:mergeCell ref="J154:Q154"/>
    <x:mergeCell ref="A155:C155"/>
    <x:mergeCell ref="E155:I155"/>
    <x:mergeCell ref="J155:Q155"/>
    <x:mergeCell ref="A156:C156"/>
    <x:mergeCell ref="E156:I156"/>
    <x:mergeCell ref="J156:Q156"/>
    <x:mergeCell ref="A157:C157"/>
    <x:mergeCell ref="E157:I157"/>
    <x:mergeCell ref="J157:Q157"/>
    <x:mergeCell ref="A158:C158"/>
    <x:mergeCell ref="E158:I158"/>
    <x:mergeCell ref="J158:Q158"/>
    <x:mergeCell ref="C15:Q15"/>
  </x:mergeCells>
  <x:dataValidations count="1">
    <x:dataValidation type="whole" operator="between" sqref="B15">
      <x:formula1>0</x:formula1>
      <x:formula2>70</x:formula2>
    </x:dataValidation>
  </x:dataValidations>
  <x:pageMargins left="0.7" right="0.7" top="0.75" bottom="0.75" header="0.3" footer="0.3"/>
</x:worksheet>
</file>