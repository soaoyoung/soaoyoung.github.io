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ca02cda71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골조공정표" sheetId="1" r:id="Rcc47e586196a43cc"/>
    <x:sheet xmlns:r="http://schemas.openxmlformats.org/officeDocument/2006/relationships" name="자재반입계획" sheetId="2" r:id="R42126672e1de4610"/>
    <x:sheet xmlns:r="http://schemas.openxmlformats.org/officeDocument/2006/relationships" name="산출기준" sheetId="3" r:id="R207b384c0179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"/>
    <x:numFmt numFmtId="201" formatCode="#,##0"/>
    <x:numFmt numFmtId="202" formatCode="0.00"/>
    <x:numFmt numFmtId="203" formatCode="#,##0.00"/>
    <x:numFmt numFmtId="204" formatCode="0%"/>
    <x:numFmt numFmtId="205" formatCode="&quot;WD &quot;0"/>
    <x:numFmt numFmtId="206" formatCode="0;-0;;"/>
    <x:numFmt numFmtId="207" formatCode="0"/>
  </x:numFmts>
  <x:fonts count="8">
    <x:font>
      <x:sz val="11"/>
      <x:name val="Carlito"/>
    </x:font>
    <x:font>
      <x:sz val="10"/>
      <x:color rgb="FF213C30"/>
      <x:name val="Arial"/>
    </x:font>
    <x:font>
      <x:b/>
      <x:sz val="16"/>
      <x:color rgb="FF245F49"/>
      <x:name val="Arial"/>
    </x:font>
    <x:font>
      <x:i/>
      <x:sz val="10"/>
      <x:color rgb="FF62766A"/>
      <x:name val="Arial"/>
    </x:font>
    <x:font>
      <x:sz val="10"/>
      <x:color rgb="FF62766A"/>
      <x:name val="Arial"/>
    </x:font>
    <x:font>
      <x:b/>
      <x:sz val="10"/>
      <x:color rgb="FFFFFFFF"/>
      <x:name val="Arial"/>
    </x:font>
    <x:font>
      <x:sz val="10"/>
      <x:color rgb="FF1D4D7C"/>
      <x:name val="Arial"/>
    </x:font>
    <x:font>
      <x:sz val="10"/>
      <x:color rgb="FF80572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5F49"/>
      </x:patternFill>
    </x:fill>
    <x:fill>
      <x:patternFill patternType="solid">
        <x:fgColor rgb="FFFFF2CF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9DBBA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8DAD99"/>
      </x:top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204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horizontal="center"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6" fontId="1" fillId="0" borderId="5" xfId="0" applyNumberFormat="1" applyFont="1" applyFill="1" applyBorder="1" applyAlignment="1">
      <x:alignment horizontal="center" vertical="center"/>
    </x:xf>
    <x:xf numFmtId="207" fontId="1" fillId="0" borderId="5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2"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D7E5F0"/>
        </x:patternFill>
      </x:fill>
    </x:dxf>
    <x:dxf>
      <x:font>
        <x:color rgb="FF213C30"/>
      </x:font>
      <x:fill>
        <x:patternFill patternType="solid">
          <x:bgColor rgb="FFF1E4C6"/>
        </x:patternFill>
      </x:fill>
    </x:dxf>
    <x:dxf>
      <x:font>
        <x:color rgb="FF213C30"/>
      </x:font>
      <x:fill>
        <x:patternFill patternType="solid">
          <x:bgColor rgb="FFC6DECC"/>
        </x:patternFill>
      </x:fill>
    </x:dxf>
    <x:dxf>
      <x:font>
        <x:color rgb="FF213C30"/>
      </x:font>
      <x:fill>
        <x:patternFill patternType="solid">
          <x:bgColor rgb="FFF1E4C6"/>
        </x:patternFill>
      </x:fill>
    </x:dxf>
    <x:dxf>
      <x:font>
        <x:color rgb="FF213C30"/>
      </x:font>
      <x:fill>
        <x:patternFill patternType="solid">
          <x:bgColor rgb="FFD7E5F0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D7E5F0"/>
        </x:patternFill>
      </x:fill>
    </x:dxf>
    <x:dxf>
      <x:font>
        <x:color rgb="FF213C30"/>
      </x:font>
      <x:fill>
        <x:patternFill patternType="solid">
          <x:bgColor rgb="FFF1E4C6"/>
        </x:patternFill>
      </x:fill>
    </x:dxf>
    <x:dxf>
      <x:font>
        <x:color rgb="FF213C30"/>
      </x:font>
      <x:fill>
        <x:patternFill patternType="solid">
          <x:bgColor rgb="FFC6DECC"/>
        </x:patternFill>
      </x:fill>
    </x:dxf>
    <x:dxf>
      <x:font>
        <x:color rgb="FF213C30"/>
      </x:font>
      <x:fill>
        <x:patternFill patternType="solid">
          <x:bgColor rgb="FFF1E4C6"/>
        </x:patternFill>
      </x:fill>
    </x:dxf>
    <x:dxf>
      <x:font>
        <x:color rgb="FF213C30"/>
      </x:font>
      <x:fill>
        <x:patternFill patternType="solid">
          <x:bgColor rgb="FFD7E5F0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D7E5F0"/>
        </x:patternFill>
      </x:fill>
    </x:dxf>
    <x:dxf>
      <x:font>
        <x:color rgb="FF213C30"/>
      </x:font>
      <x:fill>
        <x:patternFill patternType="solid">
          <x:bgColor rgb="FFF1E4C6"/>
        </x:patternFill>
      </x:fill>
    </x:dxf>
    <x:dxf>
      <x:font>
        <x:color rgb="FF213C30"/>
      </x:font>
      <x:fill>
        <x:patternFill patternType="solid">
          <x:bgColor rgb="FFC6DECC"/>
        </x:patternFill>
      </x:fill>
    </x:dxf>
    <x:dxf>
      <x:font>
        <x:color rgb="FF213C30"/>
      </x:font>
      <x:fill>
        <x:patternFill patternType="solid">
          <x:bgColor rgb="FFF1E4C6"/>
        </x:patternFill>
      </x:fill>
    </x:dxf>
    <x:dxf>
      <x:font>
        <x:color rgb="FF213C30"/>
      </x:font>
      <x:fill>
        <x:patternFill patternType="solid">
          <x:bgColor rgb="FFD7E5F0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D7E5F0"/>
        </x:patternFill>
      </x:fill>
    </x:dxf>
    <x:dxf>
      <x:font>
        <x:color rgb="FF213C30"/>
      </x:font>
      <x:fill>
        <x:patternFill patternType="solid">
          <x:bgColor rgb="FFF1E4C6"/>
        </x:patternFill>
      </x:fill>
    </x:dxf>
    <x:dxf>
      <x:font>
        <x:color rgb="FF213C30"/>
      </x:font>
      <x:fill>
        <x:patternFill patternType="solid">
          <x:bgColor rgb="FFC6DECC"/>
        </x:patternFill>
      </x:fill>
    </x:dxf>
    <x:dxf>
      <x:font>
        <x:color rgb="FF213C30"/>
      </x:font>
      <x:fill>
        <x:patternFill patternType="solid">
          <x:bgColor rgb="FFF1E4C6"/>
        </x:patternFill>
      </x:fill>
    </x:dxf>
    <x:dxf>
      <x:font>
        <x:color rgb="FF213C30"/>
      </x:font>
      <x:fill>
        <x:patternFill patternType="solid">
          <x:bgColor rgb="FFD7E5F0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  <x:dxf>
      <x:font>
        <x:color rgb="FF213C30"/>
      </x:font>
      <x:fill>
        <x:patternFill patternType="solid">
          <x:bgColor rgb="FFE4EB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55c80989a4243" /><Relationship Type="http://schemas.openxmlformats.org/officeDocument/2006/relationships/theme" Target="/xl/theme/theme1.xml" Id="R89ab5206b49744e9" /><Relationship Type="http://schemas.openxmlformats.org/officeDocument/2006/relationships/sharedStrings" Target="/xl/sharedStrings.xml" Id="Rac4274f2ca314460" /><Relationship Type="http://schemas.openxmlformats.org/officeDocument/2006/relationships/worksheet" Target="/xl/worksheets/sheet1.xml" Id="Rcc47e586196a43cc" /><Relationship Type="http://schemas.openxmlformats.org/officeDocument/2006/relationships/worksheet" Target="/xl/worksheets/sheet2.xml" Id="R42126672e1de4610" /><Relationship Type="http://schemas.openxmlformats.org/officeDocument/2006/relationships/worksheet" Target="/xl/worksheets/sheet3.xml" Id="R207b384c017948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F49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5.630000114440918" hidden="0" customWidth="1"/>
    <x:col min="2" max="2" width="8.75" hidden="0" customWidth="1"/>
    <x:col min="3" max="3" width="24.25" hidden="0" customWidth="1"/>
    <x:col min="4" max="4" width="8" hidden="0" customWidth="1"/>
    <x:col min="5" max="5" width="8" hidden="0" customWidth="1"/>
    <x:col min="6" max="6" width="7.25" hidden="0" customWidth="1"/>
    <x:col min="7" max="7" width="13.75" hidden="0" customWidth="1"/>
    <x:col min="8" max="8" width="9.380000114440918" hidden="0" customWidth="1"/>
    <x:col min="9" max="9" width="6.630000114440918" hidden="0" customWidth="1"/>
    <x:col min="10" max="10" width="6.630000114440918" hidden="0" customWidth="1"/>
    <x:col min="11" max="11" width="6.630000114440918" hidden="0" customWidth="1"/>
    <x:col min="12" max="12" width="6.630000114440918" hidden="0" customWidth="1"/>
    <x:col min="13" max="13" width="6.630000114440918" hidden="0" customWidth="1"/>
    <x:col min="14" max="14" width="6.630000114440918" hidden="0" customWidth="1"/>
    <x:col min="15" max="15" width="6.630000114440918" hidden="0" customWidth="1"/>
    <x:col min="16" max="16" width="6.630000114440918" hidden="0" customWidth="1"/>
    <x:col min="17" max="17" width="6.630000114440918" hidden="0" customWidth="1"/>
    <x:col min="18" max="18" width="6.630000114440918" hidden="0" customWidth="1"/>
    <x:col min="19" max="19" width="6.630000114440918" hidden="0" customWidth="1"/>
    <x:col min="20" max="20" width="6.630000114440918" hidden="0" customWidth="1"/>
    <x:col min="21" max="21" width="6.630000114440918" hidden="0" customWidth="1"/>
    <x:col min="22" max="22" width="6.6300001144409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4" customHeight="1">
      <x:c r="A2" s="3" t="str">
        <x:v>113·112·104·105동 1층 골조 공정표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4" customHeight="1">
      <x:c r="A3" s="5" t="str">
        <x:v>1층/필로티 · 층고 5.20m · 25 WD 작업 + 5 WD 계획 여유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 ht="24" customHeight="1">
      <x:c r="A4" s="6" t="str">
        <x:v>상대 작업일 기준. 주별 칸의 숫자는 해당 주 작업일수이며, 세부 작업 배분은 작성 초안입니다.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4" customHeight="1">
      <x:c r="A6" s="16" t="str">
        <x:v>번호</x:v>
      </x:c>
      <x:c r="B6" s="17" t="str">
        <x:v>동</x:v>
      </x:c>
      <x:c r="C6" s="17" t="str">
        <x:v>공정</x:v>
      </x:c>
      <x:c r="D6" s="17" t="str">
        <x:v>착수 WD</x:v>
      </x:c>
      <x:c r="E6" s="17" t="str">
        <x:v>완료 WD</x:v>
      </x:c>
      <x:c r="F6" s="17" t="str">
        <x:v>기간 (WD)</x:v>
      </x:c>
      <x:c r="G6" s="17" t="str">
        <x:v>자재</x:v>
      </x:c>
      <x:c r="H6" s="17" t="str">
        <x:v>구간 확인</x:v>
      </x:c>
      <x:c r="I6" s="17" t="str">
        <x:v>6월 2주</x:v>
      </x:c>
      <x:c r="J6" s="17" t="str">
        <x:v>6월 3주</x:v>
      </x:c>
      <x:c r="K6" s="17" t="str">
        <x:v>6월 4주</x:v>
      </x:c>
      <x:c r="L6" s="17" t="str">
        <x:v>7월 1주</x:v>
      </x:c>
      <x:c r="M6" s="17" t="str">
        <x:v>7월 2주</x:v>
      </x:c>
      <x:c r="N6" s="17" t="str">
        <x:v>7월 3주</x:v>
      </x:c>
      <x:c r="O6" s="17" t="str">
        <x:v>7월 4주</x:v>
      </x:c>
      <x:c r="P6" s="17" t="str">
        <x:v>8월 1주</x:v>
      </x:c>
      <x:c r="Q6" s="17" t="str">
        <x:v>8월 2주</x:v>
      </x:c>
      <x:c r="R6" s="17" t="str">
        <x:v>8월 3주</x:v>
      </x:c>
      <x:c r="S6" s="17" t="str">
        <x:v>8월 4주</x:v>
      </x:c>
      <x:c r="T6" s="17" t="str">
        <x:v>9월 1주</x:v>
      </x:c>
      <x:c r="U6" s="17" t="str">
        <x:v>9월 2주</x:v>
      </x:c>
      <x:c r="V6" s="18" t="str">
        <x:v>9월 3주</x:v>
      </x:c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35" t="n">
        <x:v>1</x:v>
      </x:c>
      <x:c r="J7" s="35" t="n">
        <x:v>6</x:v>
      </x:c>
      <x:c r="K7" s="35" t="n">
        <x:v>11</x:v>
      </x:c>
      <x:c r="L7" s="35" t="n">
        <x:v>16</x:v>
      </x:c>
      <x:c r="M7" s="35" t="n">
        <x:v>21</x:v>
      </x:c>
      <x:c r="N7" s="35" t="n">
        <x:v>26</x:v>
      </x:c>
      <x:c r="O7" s="35" t="n">
        <x:v>31</x:v>
      </x:c>
      <x:c r="P7" s="35" t="n">
        <x:v>36</x:v>
      </x:c>
      <x:c r="Q7" s="35" t="n">
        <x:v>41</x:v>
      </x:c>
      <x:c r="R7" s="35" t="n">
        <x:v>46</x:v>
      </x:c>
      <x:c r="S7" s="35" t="n">
        <x:v>51</x:v>
      </x:c>
      <x:c r="T7" s="35" t="n">
        <x:v>56</x:v>
      </x:c>
      <x:c r="U7" s="35" t="n">
        <x:v>61</x:v>
      </x:c>
      <x:c r="V7" s="35" t="n">
        <x:v>66</x:v>
      </x:c>
    </x:row>
    <x:row r="8" ht="24" customHeight="1">
      <x:c r="A8" s="38" t="n">
        <x:v>1</x:v>
      </x:c>
      <x:c r="B8" s="38" t="str">
        <x:v>113동</x:v>
      </x:c>
      <x:c r="C8" s="38" t="str">
        <x:v>준비·먹매김</x:v>
      </x:c>
      <x:c r="D8" s="40" t="n">
        <x:f>'산출기준'!B7+'산출기준'!C35-1</x:f>
        <x:v>41</x:v>
      </x:c>
      <x:c r="E8" s="40" t="n">
        <x:f>'산출기준'!B7+'산출기준'!D35-1</x:f>
        <x:v>42</x:v>
      </x:c>
      <x:c r="F8" s="40" t="n">
        <x:f>E8-D8+1</x:f>
        <x:v>2</x:v>
      </x:c>
      <x:c r="G8" s="38" t="str"/>
      <x:c r="H8" s="38" t="str">
        <x:f>IF(AND(D8&gt;='산출기준'!B7,E8&lt;='산출기준'!C7),"범위 내","구간 초과")</x:f>
        <x:v>범위 내</x:v>
      </x:c>
      <x:c r="I8" s="39" t="n">
        <x:f>MAX(0,MIN($E8,I$7+4)-MAX($D8,I$7)+1)</x:f>
        <x:v>0</x:v>
      </x:c>
      <x:c r="J8" s="39" t="n">
        <x:f>MAX(0,MIN($E8,J$7+4)-MAX($D8,J$7)+1)</x:f>
        <x:v>0</x:v>
      </x:c>
      <x:c r="K8" s="39" t="n">
        <x:f>MAX(0,MIN($E8,K$7+4)-MAX($D8,K$7)+1)</x:f>
        <x:v>0</x:v>
      </x:c>
      <x:c r="L8" s="39" t="n">
        <x:f>MAX(0,MIN($E8,L$7+4)-MAX($D8,L$7)+1)</x:f>
        <x:v>0</x:v>
      </x:c>
      <x:c r="M8" s="39" t="n">
        <x:f>MAX(0,MIN($E8,M$7+4)-MAX($D8,M$7)+1)</x:f>
        <x:v>0</x:v>
      </x:c>
      <x:c r="N8" s="39" t="n">
        <x:f>MAX(0,MIN($E8,N$7+4)-MAX($D8,N$7)+1)</x:f>
        <x:v>0</x:v>
      </x:c>
      <x:c r="O8" s="39" t="n">
        <x:f>MAX(0,MIN($E8,O$7+4)-MAX($D8,O$7)+1)</x:f>
        <x:v>0</x:v>
      </x:c>
      <x:c r="P8" s="39" t="n">
        <x:f>MAX(0,MIN($E8,P$7+4)-MAX($D8,P$7)+1)</x:f>
        <x:v>0</x:v>
      </x:c>
      <x:c r="Q8" s="39" t="n">
        <x:f>MAX(0,MIN($E8,Q$7+4)-MAX($D8,Q$7)+1)</x:f>
        <x:v>2</x:v>
      </x:c>
      <x:c r="R8" s="39" t="n">
        <x:f>MAX(0,MIN($E8,R$7+4)-MAX($D8,R$7)+1)</x:f>
        <x:v>0</x:v>
      </x:c>
      <x:c r="S8" s="39" t="n">
        <x:f>MAX(0,MIN($E8,S$7+4)-MAX($D8,S$7)+1)</x:f>
        <x:v>0</x:v>
      </x:c>
      <x:c r="T8" s="39" t="n">
        <x:f>MAX(0,MIN($E8,T$7+4)-MAX($D8,T$7)+1)</x:f>
        <x:v>0</x:v>
      </x:c>
      <x:c r="U8" s="39" t="n">
        <x:f>MAX(0,MIN($E8,U$7+4)-MAX($D8,U$7)+1)</x:f>
        <x:v>0</x:v>
      </x:c>
      <x:c r="V8" s="39" t="n">
        <x:f>MAX(0,MIN($E8,V$7+4)-MAX($D8,V$7)+1)</x:f>
        <x:v>0</x:v>
      </x:c>
    </x:row>
    <x:row r="9" ht="24" customHeight="1">
      <x:c r="A9" s="2" t="n">
        <x:v>2</x:v>
      </x:c>
      <x:c r="B9" s="2" t="str">
        <x:v>113동</x:v>
      </x:c>
      <x:c r="C9" s="2" t="str">
        <x:v>벽체·기둥 철근배근</x:v>
      </x:c>
      <x:c r="D9" s="41" t="n">
        <x:f>'산출기준'!B7+'산출기준'!C36-1</x:f>
        <x:v>43</x:v>
      </x:c>
      <x:c r="E9" s="41" t="n">
        <x:f>'산출기준'!B7+'산출기준'!D36-1</x:f>
        <x:v>47</x:v>
      </x:c>
      <x:c r="F9" s="41" t="n">
        <x:f>E9-D9+1</x:f>
        <x:v>5</x:v>
      </x:c>
      <x:c r="G9" s="2" t="str">
        <x:v>철근</x:v>
      </x:c>
      <x:c r="H9" s="2" t="str">
        <x:f>IF(AND(D9&gt;='산출기준'!B7,E9&lt;='산출기준'!C7),"범위 내","구간 초과")</x:f>
        <x:v>범위 내</x:v>
      </x:c>
      <x:c r="I9" s="37" t="n">
        <x:f>MAX(0,MIN($E9,I$7+4)-MAX($D9,I$7)+1)</x:f>
        <x:v>0</x:v>
      </x:c>
      <x:c r="J9" s="37" t="n">
        <x:f>MAX(0,MIN($E9,J$7+4)-MAX($D9,J$7)+1)</x:f>
        <x:v>0</x:v>
      </x:c>
      <x:c r="K9" s="37" t="n">
        <x:f>MAX(0,MIN($E9,K$7+4)-MAX($D9,K$7)+1)</x:f>
        <x:v>0</x:v>
      </x:c>
      <x:c r="L9" s="37" t="n">
        <x:f>MAX(0,MIN($E9,L$7+4)-MAX($D9,L$7)+1)</x:f>
        <x:v>0</x:v>
      </x:c>
      <x:c r="M9" s="37" t="n">
        <x:f>MAX(0,MIN($E9,M$7+4)-MAX($D9,M$7)+1)</x:f>
        <x:v>0</x:v>
      </x:c>
      <x:c r="N9" s="37" t="n">
        <x:f>MAX(0,MIN($E9,N$7+4)-MAX($D9,N$7)+1)</x:f>
        <x:v>0</x:v>
      </x:c>
      <x:c r="O9" s="37" t="n">
        <x:f>MAX(0,MIN($E9,O$7+4)-MAX($D9,O$7)+1)</x:f>
        <x:v>0</x:v>
      </x:c>
      <x:c r="P9" s="37" t="n">
        <x:f>MAX(0,MIN($E9,P$7+4)-MAX($D9,P$7)+1)</x:f>
        <x:v>0</x:v>
      </x:c>
      <x:c r="Q9" s="37" t="n">
        <x:f>MAX(0,MIN($E9,Q$7+4)-MAX($D9,Q$7)+1)</x:f>
        <x:v>3</x:v>
      </x:c>
      <x:c r="R9" s="37" t="n">
        <x:f>MAX(0,MIN($E9,R$7+4)-MAX($D9,R$7)+1)</x:f>
        <x:v>2</x:v>
      </x:c>
      <x:c r="S9" s="37" t="n">
        <x:f>MAX(0,MIN($E9,S$7+4)-MAX($D9,S$7)+1)</x:f>
        <x:v>0</x:v>
      </x:c>
      <x:c r="T9" s="37" t="n">
        <x:f>MAX(0,MIN($E9,T$7+4)-MAX($D9,T$7)+1)</x:f>
        <x:v>0</x:v>
      </x:c>
      <x:c r="U9" s="37" t="n">
        <x:f>MAX(0,MIN($E9,U$7+4)-MAX($D9,U$7)+1)</x:f>
        <x:v>0</x:v>
      </x:c>
      <x:c r="V9" s="37" t="n">
        <x:f>MAX(0,MIN($E9,V$7+4)-MAX($D9,V$7)+1)</x:f>
        <x:v>0</x:v>
      </x:c>
    </x:row>
    <x:row r="10" ht="24" customHeight="1">
      <x:c r="A10" s="2" t="n">
        <x:v>3</x:v>
      </x:c>
      <x:c r="B10" s="2" t="str">
        <x:v>113동</x:v>
      </x:c>
      <x:c r="C10" s="2" t="str">
        <x:v>수직부 거푸집 설치</x:v>
      </x:c>
      <x:c r="D10" s="41" t="n">
        <x:f>'산출기준'!B7+'산출기준'!C37-1</x:f>
        <x:v>48</x:v>
      </x:c>
      <x:c r="E10" s="41" t="n">
        <x:f>'산출기준'!B7+'산출기준'!D37-1</x:f>
        <x:v>54</x:v>
      </x:c>
      <x:c r="F10" s="41" t="n">
        <x:f>E10-D10+1</x:f>
        <x:v>7</x:v>
      </x:c>
      <x:c r="G10" s="2" t="str">
        <x:v>거푸집</x:v>
      </x:c>
      <x:c r="H10" s="2" t="str">
        <x:f>IF(AND(D10&gt;='산출기준'!B7,E10&lt;='산출기준'!C7),"범위 내","구간 초과")</x:f>
        <x:v>범위 내</x:v>
      </x:c>
      <x:c r="I10" s="37" t="n">
        <x:f>MAX(0,MIN($E10,I$7+4)-MAX($D10,I$7)+1)</x:f>
        <x:v>0</x:v>
      </x:c>
      <x:c r="J10" s="37" t="n">
        <x:f>MAX(0,MIN($E10,J$7+4)-MAX($D10,J$7)+1)</x:f>
        <x:v>0</x:v>
      </x:c>
      <x:c r="K10" s="37" t="n">
        <x:f>MAX(0,MIN($E10,K$7+4)-MAX($D10,K$7)+1)</x:f>
        <x:v>0</x:v>
      </x:c>
      <x:c r="L10" s="37" t="n">
        <x:f>MAX(0,MIN($E10,L$7+4)-MAX($D10,L$7)+1)</x:f>
        <x:v>0</x:v>
      </x:c>
      <x:c r="M10" s="37" t="n">
        <x:f>MAX(0,MIN($E10,M$7+4)-MAX($D10,M$7)+1)</x:f>
        <x:v>0</x:v>
      </x:c>
      <x:c r="N10" s="37" t="n">
        <x:f>MAX(0,MIN($E10,N$7+4)-MAX($D10,N$7)+1)</x:f>
        <x:v>0</x:v>
      </x:c>
      <x:c r="O10" s="37" t="n">
        <x:f>MAX(0,MIN($E10,O$7+4)-MAX($D10,O$7)+1)</x:f>
        <x:v>0</x:v>
      </x:c>
      <x:c r="P10" s="37" t="n">
        <x:f>MAX(0,MIN($E10,P$7+4)-MAX($D10,P$7)+1)</x:f>
        <x:v>0</x:v>
      </x:c>
      <x:c r="Q10" s="37" t="n">
        <x:f>MAX(0,MIN($E10,Q$7+4)-MAX($D10,Q$7)+1)</x:f>
        <x:v>0</x:v>
      </x:c>
      <x:c r="R10" s="37" t="n">
        <x:f>MAX(0,MIN($E10,R$7+4)-MAX($D10,R$7)+1)</x:f>
        <x:v>3</x:v>
      </x:c>
      <x:c r="S10" s="37" t="n">
        <x:f>MAX(0,MIN($E10,S$7+4)-MAX($D10,S$7)+1)</x:f>
        <x:v>4</x:v>
      </x:c>
      <x:c r="T10" s="37" t="n">
        <x:f>MAX(0,MIN($E10,T$7+4)-MAX($D10,T$7)+1)</x:f>
        <x:v>0</x:v>
      </x:c>
      <x:c r="U10" s="37" t="n">
        <x:f>MAX(0,MIN($E10,U$7+4)-MAX($D10,U$7)+1)</x:f>
        <x:v>0</x:v>
      </x:c>
      <x:c r="V10" s="37" t="n">
        <x:f>MAX(0,MIN($E10,V$7+4)-MAX($D10,V$7)+1)</x:f>
        <x:v>0</x:v>
      </x:c>
    </x:row>
    <x:row r="11" ht="24" customHeight="1">
      <x:c r="A11" s="2" t="n">
        <x:v>4</x:v>
      </x:c>
      <x:c r="B11" s="2" t="str">
        <x:v>113동</x:v>
      </x:c>
      <x:c r="C11" s="2" t="str">
        <x:v>시스템동바리 조립</x:v>
      </x:c>
      <x:c r="D11" s="41" t="n">
        <x:f>'산출기준'!B7+'산출기준'!C38-1</x:f>
        <x:v>55</x:v>
      </x:c>
      <x:c r="E11" s="41" t="n">
        <x:f>'산출기준'!B7+'산출기준'!D38-1</x:f>
        <x:v>57</x:v>
      </x:c>
      <x:c r="F11" s="41" t="n">
        <x:f>E11-D11+1</x:f>
        <x:v>3</x:v>
      </x:c>
      <x:c r="G11" s="2" t="str">
        <x:v>시스템동바리</x:v>
      </x:c>
      <x:c r="H11" s="2" t="str">
        <x:f>IF(AND(D11&gt;='산출기준'!B7,E11&lt;='산출기준'!C7),"범위 내","구간 초과")</x:f>
        <x:v>범위 내</x:v>
      </x:c>
      <x:c r="I11" s="37" t="n">
        <x:f>MAX(0,MIN($E11,I$7+4)-MAX($D11,I$7)+1)</x:f>
        <x:v>0</x:v>
      </x:c>
      <x:c r="J11" s="37" t="n">
        <x:f>MAX(0,MIN($E11,J$7+4)-MAX($D11,J$7)+1)</x:f>
        <x:v>0</x:v>
      </x:c>
      <x:c r="K11" s="37" t="n">
        <x:f>MAX(0,MIN($E11,K$7+4)-MAX($D11,K$7)+1)</x:f>
        <x:v>0</x:v>
      </x:c>
      <x:c r="L11" s="37" t="n">
        <x:f>MAX(0,MIN($E11,L$7+4)-MAX($D11,L$7)+1)</x:f>
        <x:v>0</x:v>
      </x:c>
      <x:c r="M11" s="37" t="n">
        <x:f>MAX(0,MIN($E11,M$7+4)-MAX($D11,M$7)+1)</x:f>
        <x:v>0</x:v>
      </x:c>
      <x:c r="N11" s="37" t="n">
        <x:f>MAX(0,MIN($E11,N$7+4)-MAX($D11,N$7)+1)</x:f>
        <x:v>0</x:v>
      </x:c>
      <x:c r="O11" s="37" t="n">
        <x:f>MAX(0,MIN($E11,O$7+4)-MAX($D11,O$7)+1)</x:f>
        <x:v>0</x:v>
      </x:c>
      <x:c r="P11" s="37" t="n">
        <x:f>MAX(0,MIN($E11,P$7+4)-MAX($D11,P$7)+1)</x:f>
        <x:v>0</x:v>
      </x:c>
      <x:c r="Q11" s="37" t="n">
        <x:f>MAX(0,MIN($E11,Q$7+4)-MAX($D11,Q$7)+1)</x:f>
        <x:v>0</x:v>
      </x:c>
      <x:c r="R11" s="37" t="n">
        <x:f>MAX(0,MIN($E11,R$7+4)-MAX($D11,R$7)+1)</x:f>
        <x:v>0</x:v>
      </x:c>
      <x:c r="S11" s="37" t="n">
        <x:f>MAX(0,MIN($E11,S$7+4)-MAX($D11,S$7)+1)</x:f>
        <x:v>1</x:v>
      </x:c>
      <x:c r="T11" s="37" t="n">
        <x:f>MAX(0,MIN($E11,T$7+4)-MAX($D11,T$7)+1)</x:f>
        <x:v>2</x:v>
      </x:c>
      <x:c r="U11" s="37" t="n">
        <x:f>MAX(0,MIN($E11,U$7+4)-MAX($D11,U$7)+1)</x:f>
        <x:v>0</x:v>
      </x:c>
      <x:c r="V11" s="37" t="n">
        <x:f>MAX(0,MIN($E11,V$7+4)-MAX($D11,V$7)+1)</x:f>
        <x:v>0</x:v>
      </x:c>
    </x:row>
    <x:row r="12" ht="24" customHeight="1">
      <x:c r="A12" s="2" t="n">
        <x:v>5</x:v>
      </x:c>
      <x:c r="B12" s="2" t="str">
        <x:v>113동</x:v>
      </x:c>
      <x:c r="C12" s="2" t="str">
        <x:v>보·슬래브 거푸집</x:v>
      </x:c>
      <x:c r="D12" s="41" t="n">
        <x:f>'산출기준'!B7+'산출기준'!C39-1</x:f>
        <x:v>58</x:v>
      </x:c>
      <x:c r="E12" s="41" t="n">
        <x:f>'산출기준'!B7+'산출기준'!D39-1</x:f>
        <x:v>61</x:v>
      </x:c>
      <x:c r="F12" s="41" t="n">
        <x:f>E12-D12+1</x:f>
        <x:v>4</x:v>
      </x:c>
      <x:c r="G12" s="2" t="str">
        <x:v>거푸집</x:v>
      </x:c>
      <x:c r="H12" s="2" t="str">
        <x:f>IF(AND(D12&gt;='산출기준'!B7,E12&lt;='산출기준'!C7),"범위 내","구간 초과")</x:f>
        <x:v>범위 내</x:v>
      </x:c>
      <x:c r="I12" s="37" t="n">
        <x:f>MAX(0,MIN($E12,I$7+4)-MAX($D12,I$7)+1)</x:f>
        <x:v>0</x:v>
      </x:c>
      <x:c r="J12" s="37" t="n">
        <x:f>MAX(0,MIN($E12,J$7+4)-MAX($D12,J$7)+1)</x:f>
        <x:v>0</x:v>
      </x:c>
      <x:c r="K12" s="37" t="n">
        <x:f>MAX(0,MIN($E12,K$7+4)-MAX($D12,K$7)+1)</x:f>
        <x:v>0</x:v>
      </x:c>
      <x:c r="L12" s="37" t="n">
        <x:f>MAX(0,MIN($E12,L$7+4)-MAX($D12,L$7)+1)</x:f>
        <x:v>0</x:v>
      </x:c>
      <x:c r="M12" s="37" t="n">
        <x:f>MAX(0,MIN($E12,M$7+4)-MAX($D12,M$7)+1)</x:f>
        <x:v>0</x:v>
      </x:c>
      <x:c r="N12" s="37" t="n">
        <x:f>MAX(0,MIN($E12,N$7+4)-MAX($D12,N$7)+1)</x:f>
        <x:v>0</x:v>
      </x:c>
      <x:c r="O12" s="37" t="n">
        <x:f>MAX(0,MIN($E12,O$7+4)-MAX($D12,O$7)+1)</x:f>
        <x:v>0</x:v>
      </x:c>
      <x:c r="P12" s="37" t="n">
        <x:f>MAX(0,MIN($E12,P$7+4)-MAX($D12,P$7)+1)</x:f>
        <x:v>0</x:v>
      </x:c>
      <x:c r="Q12" s="37" t="n">
        <x:f>MAX(0,MIN($E12,Q$7+4)-MAX($D12,Q$7)+1)</x:f>
        <x:v>0</x:v>
      </x:c>
      <x:c r="R12" s="37" t="n">
        <x:f>MAX(0,MIN($E12,R$7+4)-MAX($D12,R$7)+1)</x:f>
        <x:v>0</x:v>
      </x:c>
      <x:c r="S12" s="37" t="n">
        <x:f>MAX(0,MIN($E12,S$7+4)-MAX($D12,S$7)+1)</x:f>
        <x:v>0</x:v>
      </x:c>
      <x:c r="T12" s="37" t="n">
        <x:f>MAX(0,MIN($E12,T$7+4)-MAX($D12,T$7)+1)</x:f>
        <x:v>3</x:v>
      </x:c>
      <x:c r="U12" s="37" t="n">
        <x:f>MAX(0,MIN($E12,U$7+4)-MAX($D12,U$7)+1)</x:f>
        <x:v>1</x:v>
      </x:c>
      <x:c r="V12" s="37" t="n">
        <x:f>MAX(0,MIN($E12,V$7+4)-MAX($D12,V$7)+1)</x:f>
        <x:v>0</x:v>
      </x:c>
    </x:row>
    <x:row r="13" ht="24" customHeight="1">
      <x:c r="A13" s="2" t="n">
        <x:v>6</x:v>
      </x:c>
      <x:c r="B13" s="2" t="str">
        <x:v>113동</x:v>
      </x:c>
      <x:c r="C13" s="2" t="str">
        <x:v>보·슬래브 철근배근</x:v>
      </x:c>
      <x:c r="D13" s="41" t="n">
        <x:f>'산출기준'!B7+'산출기준'!C40-1</x:f>
        <x:v>62</x:v>
      </x:c>
      <x:c r="E13" s="41" t="n">
        <x:f>'산출기준'!B7+'산출기준'!D40-1</x:f>
        <x:v>64</x:v>
      </x:c>
      <x:c r="F13" s="41" t="n">
        <x:f>E13-D13+1</x:f>
        <x:v>3</x:v>
      </x:c>
      <x:c r="G13" s="2" t="str">
        <x:v>철근</x:v>
      </x:c>
      <x:c r="H13" s="2" t="str">
        <x:f>IF(AND(D13&gt;='산출기준'!B7,E13&lt;='산출기준'!C7),"범위 내","구간 초과")</x:f>
        <x:v>범위 내</x:v>
      </x:c>
      <x:c r="I13" s="37" t="n">
        <x:f>MAX(0,MIN($E13,I$7+4)-MAX($D13,I$7)+1)</x:f>
        <x:v>0</x:v>
      </x:c>
      <x:c r="J13" s="37" t="n">
        <x:f>MAX(0,MIN($E13,J$7+4)-MAX($D13,J$7)+1)</x:f>
        <x:v>0</x:v>
      </x:c>
      <x:c r="K13" s="37" t="n">
        <x:f>MAX(0,MIN($E13,K$7+4)-MAX($D13,K$7)+1)</x:f>
        <x:v>0</x:v>
      </x:c>
      <x:c r="L13" s="37" t="n">
        <x:f>MAX(0,MIN($E13,L$7+4)-MAX($D13,L$7)+1)</x:f>
        <x:v>0</x:v>
      </x:c>
      <x:c r="M13" s="37" t="n">
        <x:f>MAX(0,MIN($E13,M$7+4)-MAX($D13,M$7)+1)</x:f>
        <x:v>0</x:v>
      </x:c>
      <x:c r="N13" s="37" t="n">
        <x:f>MAX(0,MIN($E13,N$7+4)-MAX($D13,N$7)+1)</x:f>
        <x:v>0</x:v>
      </x:c>
      <x:c r="O13" s="37" t="n">
        <x:f>MAX(0,MIN($E13,O$7+4)-MAX($D13,O$7)+1)</x:f>
        <x:v>0</x:v>
      </x:c>
      <x:c r="P13" s="37" t="n">
        <x:f>MAX(0,MIN($E13,P$7+4)-MAX($D13,P$7)+1)</x:f>
        <x:v>0</x:v>
      </x:c>
      <x:c r="Q13" s="37" t="n">
        <x:f>MAX(0,MIN($E13,Q$7+4)-MAX($D13,Q$7)+1)</x:f>
        <x:v>0</x:v>
      </x:c>
      <x:c r="R13" s="37" t="n">
        <x:f>MAX(0,MIN($E13,R$7+4)-MAX($D13,R$7)+1)</x:f>
        <x:v>0</x:v>
      </x:c>
      <x:c r="S13" s="37" t="n">
        <x:f>MAX(0,MIN($E13,S$7+4)-MAX($D13,S$7)+1)</x:f>
        <x:v>0</x:v>
      </x:c>
      <x:c r="T13" s="37" t="n">
        <x:f>MAX(0,MIN($E13,T$7+4)-MAX($D13,T$7)+1)</x:f>
        <x:v>0</x:v>
      </x:c>
      <x:c r="U13" s="37" t="n">
        <x:f>MAX(0,MIN($E13,U$7+4)-MAX($D13,U$7)+1)</x:f>
        <x:v>3</x:v>
      </x:c>
      <x:c r="V13" s="37" t="n">
        <x:f>MAX(0,MIN($E13,V$7+4)-MAX($D13,V$7)+1)</x:f>
        <x:v>0</x:v>
      </x:c>
    </x:row>
    <x:row r="14" ht="24" customHeight="1">
      <x:c r="A14" s="2" t="n">
        <x:v>7</x:v>
      </x:c>
      <x:c r="B14" s="2" t="str">
        <x:v>113동</x:v>
      </x:c>
      <x:c r="C14" s="2" t="str">
        <x:v>검측·콘크리트 타설</x:v>
      </x:c>
      <x:c r="D14" s="41" t="n">
        <x:f>'산출기준'!B7+'산출기준'!C41-1</x:f>
        <x:v>65</x:v>
      </x:c>
      <x:c r="E14" s="41" t="n">
        <x:f>'산출기준'!B7+'산출기준'!D41-1</x:f>
        <x:v>65</x:v>
      </x:c>
      <x:c r="F14" s="41" t="n">
        <x:f>E14-D14+1</x:f>
        <x:v>1</x:v>
      </x:c>
      <x:c r="G14" s="2" t="str"/>
      <x:c r="H14" s="2" t="str">
        <x:f>IF(AND(D14&gt;='산출기준'!B7,E14&lt;='산출기준'!C7),"범위 내","구간 초과")</x:f>
        <x:v>범위 내</x:v>
      </x:c>
      <x:c r="I14" s="37" t="n">
        <x:f>MAX(0,MIN($E14,I$7+4)-MAX($D14,I$7)+1)</x:f>
        <x:v>0</x:v>
      </x:c>
      <x:c r="J14" s="37" t="n">
        <x:f>MAX(0,MIN($E14,J$7+4)-MAX($D14,J$7)+1)</x:f>
        <x:v>0</x:v>
      </x:c>
      <x:c r="K14" s="37" t="n">
        <x:f>MAX(0,MIN($E14,K$7+4)-MAX($D14,K$7)+1)</x:f>
        <x:v>0</x:v>
      </x:c>
      <x:c r="L14" s="37" t="n">
        <x:f>MAX(0,MIN($E14,L$7+4)-MAX($D14,L$7)+1)</x:f>
        <x:v>0</x:v>
      </x:c>
      <x:c r="M14" s="37" t="n">
        <x:f>MAX(0,MIN($E14,M$7+4)-MAX($D14,M$7)+1)</x:f>
        <x:v>0</x:v>
      </x:c>
      <x:c r="N14" s="37" t="n">
        <x:f>MAX(0,MIN($E14,N$7+4)-MAX($D14,N$7)+1)</x:f>
        <x:v>0</x:v>
      </x:c>
      <x:c r="O14" s="37" t="n">
        <x:f>MAX(0,MIN($E14,O$7+4)-MAX($D14,O$7)+1)</x:f>
        <x:v>0</x:v>
      </x:c>
      <x:c r="P14" s="37" t="n">
        <x:f>MAX(0,MIN($E14,P$7+4)-MAX($D14,P$7)+1)</x:f>
        <x:v>0</x:v>
      </x:c>
      <x:c r="Q14" s="37" t="n">
        <x:f>MAX(0,MIN($E14,Q$7+4)-MAX($D14,Q$7)+1)</x:f>
        <x:v>0</x:v>
      </x:c>
      <x:c r="R14" s="37" t="n">
        <x:f>MAX(0,MIN($E14,R$7+4)-MAX($D14,R$7)+1)</x:f>
        <x:v>0</x:v>
      </x:c>
      <x:c r="S14" s="37" t="n">
        <x:f>MAX(0,MIN($E14,S$7+4)-MAX($D14,S$7)+1)</x:f>
        <x:v>0</x:v>
      </x:c>
      <x:c r="T14" s="37" t="n">
        <x:f>MAX(0,MIN($E14,T$7+4)-MAX($D14,T$7)+1)</x:f>
        <x:v>0</x:v>
      </x:c>
      <x:c r="U14" s="37" t="n">
        <x:f>MAX(0,MIN($E14,U$7+4)-MAX($D14,U$7)+1)</x:f>
        <x:v>1</x:v>
      </x:c>
      <x:c r="V14" s="37" t="n">
        <x:f>MAX(0,MIN($E14,V$7+4)-MAX($D14,V$7)+1)</x:f>
        <x:v>0</x:v>
      </x:c>
    </x:row>
    <x:row r="15" ht="24" customHeight="1">
      <x:c r="A15" s="6" t="n">
        <x:v>8</x:v>
      </x:c>
      <x:c r="B15" s="6" t="str">
        <x:v>113동</x:v>
      </x:c>
      <x:c r="C15" s="6" t="str">
        <x:v>계획 여유</x:v>
      </x:c>
      <x:c r="D15" s="42" t="n">
        <x:f>'산출기준'!B7+'산출기준'!C42-1</x:f>
        <x:v>66</x:v>
      </x:c>
      <x:c r="E15" s="42" t="n">
        <x:f>'산출기준'!B7+'산출기준'!D42-1</x:f>
        <x:v>70</x:v>
      </x:c>
      <x:c r="F15" s="42" t="n">
        <x:f>E15-D15+1</x:f>
        <x:v>5</x:v>
      </x:c>
      <x:c r="G15" s="6" t="str"/>
      <x:c r="H15" s="6" t="str">
        <x:f>IF(AND(D15&gt;='산출기준'!B7,E15&lt;='산출기준'!C7),"범위 내","구간 초과")</x:f>
        <x:v>범위 내</x:v>
      </x:c>
      <x:c r="I15" s="37" t="n">
        <x:f>MAX(0,MIN($E15,I$7+4)-MAX($D15,I$7)+1)</x:f>
        <x:v>0</x:v>
      </x:c>
      <x:c r="J15" s="37" t="n">
        <x:f>MAX(0,MIN($E15,J$7+4)-MAX($D15,J$7)+1)</x:f>
        <x:v>0</x:v>
      </x:c>
      <x:c r="K15" s="37" t="n">
        <x:f>MAX(0,MIN($E15,K$7+4)-MAX($D15,K$7)+1)</x:f>
        <x:v>0</x:v>
      </x:c>
      <x:c r="L15" s="37" t="n">
        <x:f>MAX(0,MIN($E15,L$7+4)-MAX($D15,L$7)+1)</x:f>
        <x:v>0</x:v>
      </x:c>
      <x:c r="M15" s="37" t="n">
        <x:f>MAX(0,MIN($E15,M$7+4)-MAX($D15,M$7)+1)</x:f>
        <x:v>0</x:v>
      </x:c>
      <x:c r="N15" s="37" t="n">
        <x:f>MAX(0,MIN($E15,N$7+4)-MAX($D15,N$7)+1)</x:f>
        <x:v>0</x:v>
      </x:c>
      <x:c r="O15" s="37" t="n">
        <x:f>MAX(0,MIN($E15,O$7+4)-MAX($D15,O$7)+1)</x:f>
        <x:v>0</x:v>
      </x:c>
      <x:c r="P15" s="37" t="n">
        <x:f>MAX(0,MIN($E15,P$7+4)-MAX($D15,P$7)+1)</x:f>
        <x:v>0</x:v>
      </x:c>
      <x:c r="Q15" s="37" t="n">
        <x:f>MAX(0,MIN($E15,Q$7+4)-MAX($D15,Q$7)+1)</x:f>
        <x:v>0</x:v>
      </x:c>
      <x:c r="R15" s="37" t="n">
        <x:f>MAX(0,MIN($E15,R$7+4)-MAX($D15,R$7)+1)</x:f>
        <x:v>0</x:v>
      </x:c>
      <x:c r="S15" s="37" t="n">
        <x:f>MAX(0,MIN($E15,S$7+4)-MAX($D15,S$7)+1)</x:f>
        <x:v>0</x:v>
      </x:c>
      <x:c r="T15" s="37" t="n">
        <x:f>MAX(0,MIN($E15,T$7+4)-MAX($D15,T$7)+1)</x:f>
        <x:v>0</x:v>
      </x:c>
      <x:c r="U15" s="37" t="n">
        <x:f>MAX(0,MIN($E15,U$7+4)-MAX($D15,U$7)+1)</x:f>
        <x:v>0</x:v>
      </x:c>
      <x:c r="V15" s="37" t="n">
        <x:f>MAX(0,MIN($E15,V$7+4)-MAX($D15,V$7)+1)</x:f>
        <x:v>5</x:v>
      </x:c>
    </x:row>
    <x:row r="16" ht="24" customHeight="1">
      <x:c r="A16" s="38" t="n">
        <x:v>9</x:v>
      </x:c>
      <x:c r="B16" s="38" t="str">
        <x:v>112동</x:v>
      </x:c>
      <x:c r="C16" s="38" t="str">
        <x:v>준비·먹매김</x:v>
      </x:c>
      <x:c r="D16" s="40" t="n">
        <x:f>'산출기준'!B8+'산출기준'!C35-1</x:f>
        <x:v>16</x:v>
      </x:c>
      <x:c r="E16" s="40" t="n">
        <x:f>'산출기준'!B8+'산출기준'!D35-1</x:f>
        <x:v>17</x:v>
      </x:c>
      <x:c r="F16" s="40" t="n">
        <x:f>E16-D16+1</x:f>
        <x:v>2</x:v>
      </x:c>
      <x:c r="G16" s="38" t="str"/>
      <x:c r="H16" s="38" t="str">
        <x:f>IF(AND(D16&gt;='산출기준'!B8,E16&lt;='산출기준'!C8),"범위 내","구간 초과")</x:f>
        <x:v>범위 내</x:v>
      </x:c>
      <x:c r="I16" s="39" t="n">
        <x:f>MAX(0,MIN($E16,I$7+4)-MAX($D16,I$7)+1)</x:f>
        <x:v>0</x:v>
      </x:c>
      <x:c r="J16" s="39" t="n">
        <x:f>MAX(0,MIN($E16,J$7+4)-MAX($D16,J$7)+1)</x:f>
        <x:v>0</x:v>
      </x:c>
      <x:c r="K16" s="39" t="n">
        <x:f>MAX(0,MIN($E16,K$7+4)-MAX($D16,K$7)+1)</x:f>
        <x:v>0</x:v>
      </x:c>
      <x:c r="L16" s="39" t="n">
        <x:f>MAX(0,MIN($E16,L$7+4)-MAX($D16,L$7)+1)</x:f>
        <x:v>2</x:v>
      </x:c>
      <x:c r="M16" s="39" t="n">
        <x:f>MAX(0,MIN($E16,M$7+4)-MAX($D16,M$7)+1)</x:f>
        <x:v>0</x:v>
      </x:c>
      <x:c r="N16" s="39" t="n">
        <x:f>MAX(0,MIN($E16,N$7+4)-MAX($D16,N$7)+1)</x:f>
        <x:v>0</x:v>
      </x:c>
      <x:c r="O16" s="39" t="n">
        <x:f>MAX(0,MIN($E16,O$7+4)-MAX($D16,O$7)+1)</x:f>
        <x:v>0</x:v>
      </x:c>
      <x:c r="P16" s="39" t="n">
        <x:f>MAX(0,MIN($E16,P$7+4)-MAX($D16,P$7)+1)</x:f>
        <x:v>0</x:v>
      </x:c>
      <x:c r="Q16" s="39" t="n">
        <x:f>MAX(0,MIN($E16,Q$7+4)-MAX($D16,Q$7)+1)</x:f>
        <x:v>0</x:v>
      </x:c>
      <x:c r="R16" s="39" t="n">
        <x:f>MAX(0,MIN($E16,R$7+4)-MAX($D16,R$7)+1)</x:f>
        <x:v>0</x:v>
      </x:c>
      <x:c r="S16" s="39" t="n">
        <x:f>MAX(0,MIN($E16,S$7+4)-MAX($D16,S$7)+1)</x:f>
        <x:v>0</x:v>
      </x:c>
      <x:c r="T16" s="39" t="n">
        <x:f>MAX(0,MIN($E16,T$7+4)-MAX($D16,T$7)+1)</x:f>
        <x:v>0</x:v>
      </x:c>
      <x:c r="U16" s="39" t="n">
        <x:f>MAX(0,MIN($E16,U$7+4)-MAX($D16,U$7)+1)</x:f>
        <x:v>0</x:v>
      </x:c>
      <x:c r="V16" s="39" t="n">
        <x:f>MAX(0,MIN($E16,V$7+4)-MAX($D16,V$7)+1)</x:f>
        <x:v>0</x:v>
      </x:c>
    </x:row>
    <x:row r="17" ht="24" customHeight="1">
      <x:c r="A17" s="2" t="n">
        <x:v>10</x:v>
      </x:c>
      <x:c r="B17" s="2" t="str">
        <x:v>112동</x:v>
      </x:c>
      <x:c r="C17" s="2" t="str">
        <x:v>벽체·기둥 철근배근</x:v>
      </x:c>
      <x:c r="D17" s="41" t="n">
        <x:f>'산출기준'!B8+'산출기준'!C36-1</x:f>
        <x:v>18</x:v>
      </x:c>
      <x:c r="E17" s="41" t="n">
        <x:f>'산출기준'!B8+'산출기준'!D36-1</x:f>
        <x:v>22</x:v>
      </x:c>
      <x:c r="F17" s="41" t="n">
        <x:f>E17-D17+1</x:f>
        <x:v>5</x:v>
      </x:c>
      <x:c r="G17" s="2" t="str">
        <x:v>철근</x:v>
      </x:c>
      <x:c r="H17" s="2" t="str">
        <x:f>IF(AND(D17&gt;='산출기준'!B8,E17&lt;='산출기준'!C8),"범위 내","구간 초과")</x:f>
        <x:v>범위 내</x:v>
      </x:c>
      <x:c r="I17" s="37" t="n">
        <x:f>MAX(0,MIN($E17,I$7+4)-MAX($D17,I$7)+1)</x:f>
        <x:v>0</x:v>
      </x:c>
      <x:c r="J17" s="37" t="n">
        <x:f>MAX(0,MIN($E17,J$7+4)-MAX($D17,J$7)+1)</x:f>
        <x:v>0</x:v>
      </x:c>
      <x:c r="K17" s="37" t="n">
        <x:f>MAX(0,MIN($E17,K$7+4)-MAX($D17,K$7)+1)</x:f>
        <x:v>0</x:v>
      </x:c>
      <x:c r="L17" s="37" t="n">
        <x:f>MAX(0,MIN($E17,L$7+4)-MAX($D17,L$7)+1)</x:f>
        <x:v>3</x:v>
      </x:c>
      <x:c r="M17" s="37" t="n">
        <x:f>MAX(0,MIN($E17,M$7+4)-MAX($D17,M$7)+1)</x:f>
        <x:v>2</x:v>
      </x:c>
      <x:c r="N17" s="37" t="n">
        <x:f>MAX(0,MIN($E17,N$7+4)-MAX($D17,N$7)+1)</x:f>
        <x:v>0</x:v>
      </x:c>
      <x:c r="O17" s="37" t="n">
        <x:f>MAX(0,MIN($E17,O$7+4)-MAX($D17,O$7)+1)</x:f>
        <x:v>0</x:v>
      </x:c>
      <x:c r="P17" s="37" t="n">
        <x:f>MAX(0,MIN($E17,P$7+4)-MAX($D17,P$7)+1)</x:f>
        <x:v>0</x:v>
      </x:c>
      <x:c r="Q17" s="37" t="n">
        <x:f>MAX(0,MIN($E17,Q$7+4)-MAX($D17,Q$7)+1)</x:f>
        <x:v>0</x:v>
      </x:c>
      <x:c r="R17" s="37" t="n">
        <x:f>MAX(0,MIN($E17,R$7+4)-MAX($D17,R$7)+1)</x:f>
        <x:v>0</x:v>
      </x:c>
      <x:c r="S17" s="37" t="n">
        <x:f>MAX(0,MIN($E17,S$7+4)-MAX($D17,S$7)+1)</x:f>
        <x:v>0</x:v>
      </x:c>
      <x:c r="T17" s="37" t="n">
        <x:f>MAX(0,MIN($E17,T$7+4)-MAX($D17,T$7)+1)</x:f>
        <x:v>0</x:v>
      </x:c>
      <x:c r="U17" s="37" t="n">
        <x:f>MAX(0,MIN($E17,U$7+4)-MAX($D17,U$7)+1)</x:f>
        <x:v>0</x:v>
      </x:c>
      <x:c r="V17" s="37" t="n">
        <x:f>MAX(0,MIN($E17,V$7+4)-MAX($D17,V$7)+1)</x:f>
        <x:v>0</x:v>
      </x:c>
    </x:row>
    <x:row r="18" ht="24" customHeight="1">
      <x:c r="A18" s="2" t="n">
        <x:v>11</x:v>
      </x:c>
      <x:c r="B18" s="2" t="str">
        <x:v>112동</x:v>
      </x:c>
      <x:c r="C18" s="2" t="str">
        <x:v>수직부 거푸집 설치</x:v>
      </x:c>
      <x:c r="D18" s="41" t="n">
        <x:f>'산출기준'!B8+'산출기준'!C37-1</x:f>
        <x:v>23</x:v>
      </x:c>
      <x:c r="E18" s="41" t="n">
        <x:f>'산출기준'!B8+'산출기준'!D37-1</x:f>
        <x:v>29</x:v>
      </x:c>
      <x:c r="F18" s="41" t="n">
        <x:f>E18-D18+1</x:f>
        <x:v>7</x:v>
      </x:c>
      <x:c r="G18" s="2" t="str">
        <x:v>거푸집</x:v>
      </x:c>
      <x:c r="H18" s="2" t="str">
        <x:f>IF(AND(D18&gt;='산출기준'!B8,E18&lt;='산출기준'!C8),"범위 내","구간 초과")</x:f>
        <x:v>범위 내</x:v>
      </x:c>
      <x:c r="I18" s="37" t="n">
        <x:f>MAX(0,MIN($E18,I$7+4)-MAX($D18,I$7)+1)</x:f>
        <x:v>0</x:v>
      </x:c>
      <x:c r="J18" s="37" t="n">
        <x:f>MAX(0,MIN($E18,J$7+4)-MAX($D18,J$7)+1)</x:f>
        <x:v>0</x:v>
      </x:c>
      <x:c r="K18" s="37" t="n">
        <x:f>MAX(0,MIN($E18,K$7+4)-MAX($D18,K$7)+1)</x:f>
        <x:v>0</x:v>
      </x:c>
      <x:c r="L18" s="37" t="n">
        <x:f>MAX(0,MIN($E18,L$7+4)-MAX($D18,L$7)+1)</x:f>
        <x:v>0</x:v>
      </x:c>
      <x:c r="M18" s="37" t="n">
        <x:f>MAX(0,MIN($E18,M$7+4)-MAX($D18,M$7)+1)</x:f>
        <x:v>3</x:v>
      </x:c>
      <x:c r="N18" s="37" t="n">
        <x:f>MAX(0,MIN($E18,N$7+4)-MAX($D18,N$7)+1)</x:f>
        <x:v>4</x:v>
      </x:c>
      <x:c r="O18" s="37" t="n">
        <x:f>MAX(0,MIN($E18,O$7+4)-MAX($D18,O$7)+1)</x:f>
        <x:v>0</x:v>
      </x:c>
      <x:c r="P18" s="37" t="n">
        <x:f>MAX(0,MIN($E18,P$7+4)-MAX($D18,P$7)+1)</x:f>
        <x:v>0</x:v>
      </x:c>
      <x:c r="Q18" s="37" t="n">
        <x:f>MAX(0,MIN($E18,Q$7+4)-MAX($D18,Q$7)+1)</x:f>
        <x:v>0</x:v>
      </x:c>
      <x:c r="R18" s="37" t="n">
        <x:f>MAX(0,MIN($E18,R$7+4)-MAX($D18,R$7)+1)</x:f>
        <x:v>0</x:v>
      </x:c>
      <x:c r="S18" s="37" t="n">
        <x:f>MAX(0,MIN($E18,S$7+4)-MAX($D18,S$7)+1)</x:f>
        <x:v>0</x:v>
      </x:c>
      <x:c r="T18" s="37" t="n">
        <x:f>MAX(0,MIN($E18,T$7+4)-MAX($D18,T$7)+1)</x:f>
        <x:v>0</x:v>
      </x:c>
      <x:c r="U18" s="37" t="n">
        <x:f>MAX(0,MIN($E18,U$7+4)-MAX($D18,U$7)+1)</x:f>
        <x:v>0</x:v>
      </x:c>
      <x:c r="V18" s="37" t="n">
        <x:f>MAX(0,MIN($E18,V$7+4)-MAX($D18,V$7)+1)</x:f>
        <x:v>0</x:v>
      </x:c>
    </x:row>
    <x:row r="19" ht="24" customHeight="1">
      <x:c r="A19" s="2" t="n">
        <x:v>12</x:v>
      </x:c>
      <x:c r="B19" s="2" t="str">
        <x:v>112동</x:v>
      </x:c>
      <x:c r="C19" s="2" t="str">
        <x:v>시스템동바리 조립</x:v>
      </x:c>
      <x:c r="D19" s="41" t="n">
        <x:f>'산출기준'!B8+'산출기준'!C38-1</x:f>
        <x:v>30</x:v>
      </x:c>
      <x:c r="E19" s="41" t="n">
        <x:f>'산출기준'!B8+'산출기준'!D38-1</x:f>
        <x:v>32</x:v>
      </x:c>
      <x:c r="F19" s="41" t="n">
        <x:f>E19-D19+1</x:f>
        <x:v>3</x:v>
      </x:c>
      <x:c r="G19" s="2" t="str">
        <x:v>시스템동바리</x:v>
      </x:c>
      <x:c r="H19" s="2" t="str">
        <x:f>IF(AND(D19&gt;='산출기준'!B8,E19&lt;='산출기준'!C8),"범위 내","구간 초과")</x:f>
        <x:v>범위 내</x:v>
      </x:c>
      <x:c r="I19" s="37" t="n">
        <x:f>MAX(0,MIN($E19,I$7+4)-MAX($D19,I$7)+1)</x:f>
        <x:v>0</x:v>
      </x:c>
      <x:c r="J19" s="37" t="n">
        <x:f>MAX(0,MIN($E19,J$7+4)-MAX($D19,J$7)+1)</x:f>
        <x:v>0</x:v>
      </x:c>
      <x:c r="K19" s="37" t="n">
        <x:f>MAX(0,MIN($E19,K$7+4)-MAX($D19,K$7)+1)</x:f>
        <x:v>0</x:v>
      </x:c>
      <x:c r="L19" s="37" t="n">
        <x:f>MAX(0,MIN($E19,L$7+4)-MAX($D19,L$7)+1)</x:f>
        <x:v>0</x:v>
      </x:c>
      <x:c r="M19" s="37" t="n">
        <x:f>MAX(0,MIN($E19,M$7+4)-MAX($D19,M$7)+1)</x:f>
        <x:v>0</x:v>
      </x:c>
      <x:c r="N19" s="37" t="n">
        <x:f>MAX(0,MIN($E19,N$7+4)-MAX($D19,N$7)+1)</x:f>
        <x:v>1</x:v>
      </x:c>
      <x:c r="O19" s="37" t="n">
        <x:f>MAX(0,MIN($E19,O$7+4)-MAX($D19,O$7)+1)</x:f>
        <x:v>2</x:v>
      </x:c>
      <x:c r="P19" s="37" t="n">
        <x:f>MAX(0,MIN($E19,P$7+4)-MAX($D19,P$7)+1)</x:f>
        <x:v>0</x:v>
      </x:c>
      <x:c r="Q19" s="37" t="n">
        <x:f>MAX(0,MIN($E19,Q$7+4)-MAX($D19,Q$7)+1)</x:f>
        <x:v>0</x:v>
      </x:c>
      <x:c r="R19" s="37" t="n">
        <x:f>MAX(0,MIN($E19,R$7+4)-MAX($D19,R$7)+1)</x:f>
        <x:v>0</x:v>
      </x:c>
      <x:c r="S19" s="37" t="n">
        <x:f>MAX(0,MIN($E19,S$7+4)-MAX($D19,S$7)+1)</x:f>
        <x:v>0</x:v>
      </x:c>
      <x:c r="T19" s="37" t="n">
        <x:f>MAX(0,MIN($E19,T$7+4)-MAX($D19,T$7)+1)</x:f>
        <x:v>0</x:v>
      </x:c>
      <x:c r="U19" s="37" t="n">
        <x:f>MAX(0,MIN($E19,U$7+4)-MAX($D19,U$7)+1)</x:f>
        <x:v>0</x:v>
      </x:c>
      <x:c r="V19" s="37" t="n">
        <x:f>MAX(0,MIN($E19,V$7+4)-MAX($D19,V$7)+1)</x:f>
        <x:v>0</x:v>
      </x:c>
    </x:row>
    <x:row r="20" ht="24" customHeight="1">
      <x:c r="A20" s="2" t="n">
        <x:v>13</x:v>
      </x:c>
      <x:c r="B20" s="2" t="str">
        <x:v>112동</x:v>
      </x:c>
      <x:c r="C20" s="2" t="str">
        <x:v>보·슬래브 거푸집</x:v>
      </x:c>
      <x:c r="D20" s="41" t="n">
        <x:f>'산출기준'!B8+'산출기준'!C39-1</x:f>
        <x:v>33</x:v>
      </x:c>
      <x:c r="E20" s="41" t="n">
        <x:f>'산출기준'!B8+'산출기준'!D39-1</x:f>
        <x:v>36</x:v>
      </x:c>
      <x:c r="F20" s="41" t="n">
        <x:f>E20-D20+1</x:f>
        <x:v>4</x:v>
      </x:c>
      <x:c r="G20" s="2" t="str">
        <x:v>거푸집</x:v>
      </x:c>
      <x:c r="H20" s="2" t="str">
        <x:f>IF(AND(D20&gt;='산출기준'!B8,E20&lt;='산출기준'!C8),"범위 내","구간 초과")</x:f>
        <x:v>범위 내</x:v>
      </x:c>
      <x:c r="I20" s="37" t="n">
        <x:f>MAX(0,MIN($E20,I$7+4)-MAX($D20,I$7)+1)</x:f>
        <x:v>0</x:v>
      </x:c>
      <x:c r="J20" s="37" t="n">
        <x:f>MAX(0,MIN($E20,J$7+4)-MAX($D20,J$7)+1)</x:f>
        <x:v>0</x:v>
      </x:c>
      <x:c r="K20" s="37" t="n">
        <x:f>MAX(0,MIN($E20,K$7+4)-MAX($D20,K$7)+1)</x:f>
        <x:v>0</x:v>
      </x:c>
      <x:c r="L20" s="37" t="n">
        <x:f>MAX(0,MIN($E20,L$7+4)-MAX($D20,L$7)+1)</x:f>
        <x:v>0</x:v>
      </x:c>
      <x:c r="M20" s="37" t="n">
        <x:f>MAX(0,MIN($E20,M$7+4)-MAX($D20,M$7)+1)</x:f>
        <x:v>0</x:v>
      </x:c>
      <x:c r="N20" s="37" t="n">
        <x:f>MAX(0,MIN($E20,N$7+4)-MAX($D20,N$7)+1)</x:f>
        <x:v>0</x:v>
      </x:c>
      <x:c r="O20" s="37" t="n">
        <x:f>MAX(0,MIN($E20,O$7+4)-MAX($D20,O$7)+1)</x:f>
        <x:v>3</x:v>
      </x:c>
      <x:c r="P20" s="37" t="n">
        <x:f>MAX(0,MIN($E20,P$7+4)-MAX($D20,P$7)+1)</x:f>
        <x:v>1</x:v>
      </x:c>
      <x:c r="Q20" s="37" t="n">
        <x:f>MAX(0,MIN($E20,Q$7+4)-MAX($D20,Q$7)+1)</x:f>
        <x:v>0</x:v>
      </x:c>
      <x:c r="R20" s="37" t="n">
        <x:f>MAX(0,MIN($E20,R$7+4)-MAX($D20,R$7)+1)</x:f>
        <x:v>0</x:v>
      </x:c>
      <x:c r="S20" s="37" t="n">
        <x:f>MAX(0,MIN($E20,S$7+4)-MAX($D20,S$7)+1)</x:f>
        <x:v>0</x:v>
      </x:c>
      <x:c r="T20" s="37" t="n">
        <x:f>MAX(0,MIN($E20,T$7+4)-MAX($D20,T$7)+1)</x:f>
        <x:v>0</x:v>
      </x:c>
      <x:c r="U20" s="37" t="n">
        <x:f>MAX(0,MIN($E20,U$7+4)-MAX($D20,U$7)+1)</x:f>
        <x:v>0</x:v>
      </x:c>
      <x:c r="V20" s="37" t="n">
        <x:f>MAX(0,MIN($E20,V$7+4)-MAX($D20,V$7)+1)</x:f>
        <x:v>0</x:v>
      </x:c>
    </x:row>
    <x:row r="21" ht="24" customHeight="1">
      <x:c r="A21" s="2" t="n">
        <x:v>14</x:v>
      </x:c>
      <x:c r="B21" s="2" t="str">
        <x:v>112동</x:v>
      </x:c>
      <x:c r="C21" s="2" t="str">
        <x:v>보·슬래브 철근배근</x:v>
      </x:c>
      <x:c r="D21" s="41" t="n">
        <x:f>'산출기준'!B8+'산출기준'!C40-1</x:f>
        <x:v>37</x:v>
      </x:c>
      <x:c r="E21" s="41" t="n">
        <x:f>'산출기준'!B8+'산출기준'!D40-1</x:f>
        <x:v>39</x:v>
      </x:c>
      <x:c r="F21" s="41" t="n">
        <x:f>E21-D21+1</x:f>
        <x:v>3</x:v>
      </x:c>
      <x:c r="G21" s="2" t="str">
        <x:v>철근</x:v>
      </x:c>
      <x:c r="H21" s="2" t="str">
        <x:f>IF(AND(D21&gt;='산출기준'!B8,E21&lt;='산출기준'!C8),"범위 내","구간 초과")</x:f>
        <x:v>범위 내</x:v>
      </x:c>
      <x:c r="I21" s="37" t="n">
        <x:f>MAX(0,MIN($E21,I$7+4)-MAX($D21,I$7)+1)</x:f>
        <x:v>0</x:v>
      </x:c>
      <x:c r="J21" s="37" t="n">
        <x:f>MAX(0,MIN($E21,J$7+4)-MAX($D21,J$7)+1)</x:f>
        <x:v>0</x:v>
      </x:c>
      <x:c r="K21" s="37" t="n">
        <x:f>MAX(0,MIN($E21,K$7+4)-MAX($D21,K$7)+1)</x:f>
        <x:v>0</x:v>
      </x:c>
      <x:c r="L21" s="37" t="n">
        <x:f>MAX(0,MIN($E21,L$7+4)-MAX($D21,L$7)+1)</x:f>
        <x:v>0</x:v>
      </x:c>
      <x:c r="M21" s="37" t="n">
        <x:f>MAX(0,MIN($E21,M$7+4)-MAX($D21,M$7)+1)</x:f>
        <x:v>0</x:v>
      </x:c>
      <x:c r="N21" s="37" t="n">
        <x:f>MAX(0,MIN($E21,N$7+4)-MAX($D21,N$7)+1)</x:f>
        <x:v>0</x:v>
      </x:c>
      <x:c r="O21" s="37" t="n">
        <x:f>MAX(0,MIN($E21,O$7+4)-MAX($D21,O$7)+1)</x:f>
        <x:v>0</x:v>
      </x:c>
      <x:c r="P21" s="37" t="n">
        <x:f>MAX(0,MIN($E21,P$7+4)-MAX($D21,P$7)+1)</x:f>
        <x:v>3</x:v>
      </x:c>
      <x:c r="Q21" s="37" t="n">
        <x:f>MAX(0,MIN($E21,Q$7+4)-MAX($D21,Q$7)+1)</x:f>
        <x:v>0</x:v>
      </x:c>
      <x:c r="R21" s="37" t="n">
        <x:f>MAX(0,MIN($E21,R$7+4)-MAX($D21,R$7)+1)</x:f>
        <x:v>0</x:v>
      </x:c>
      <x:c r="S21" s="37" t="n">
        <x:f>MAX(0,MIN($E21,S$7+4)-MAX($D21,S$7)+1)</x:f>
        <x:v>0</x:v>
      </x:c>
      <x:c r="T21" s="37" t="n">
        <x:f>MAX(0,MIN($E21,T$7+4)-MAX($D21,T$7)+1)</x:f>
        <x:v>0</x:v>
      </x:c>
      <x:c r="U21" s="37" t="n">
        <x:f>MAX(0,MIN($E21,U$7+4)-MAX($D21,U$7)+1)</x:f>
        <x:v>0</x:v>
      </x:c>
      <x:c r="V21" s="37" t="n">
        <x:f>MAX(0,MIN($E21,V$7+4)-MAX($D21,V$7)+1)</x:f>
        <x:v>0</x:v>
      </x:c>
    </x:row>
    <x:row r="22" ht="24" customHeight="1">
      <x:c r="A22" s="2" t="n">
        <x:v>15</x:v>
      </x:c>
      <x:c r="B22" s="2" t="str">
        <x:v>112동</x:v>
      </x:c>
      <x:c r="C22" s="2" t="str">
        <x:v>검측·콘크리트 타설</x:v>
      </x:c>
      <x:c r="D22" s="41" t="n">
        <x:f>'산출기준'!B8+'산출기준'!C41-1</x:f>
        <x:v>40</x:v>
      </x:c>
      <x:c r="E22" s="41" t="n">
        <x:f>'산출기준'!B8+'산출기준'!D41-1</x:f>
        <x:v>40</x:v>
      </x:c>
      <x:c r="F22" s="41" t="n">
        <x:f>E22-D22+1</x:f>
        <x:v>1</x:v>
      </x:c>
      <x:c r="G22" s="2" t="str"/>
      <x:c r="H22" s="2" t="str">
        <x:f>IF(AND(D22&gt;='산출기준'!B8,E22&lt;='산출기준'!C8),"범위 내","구간 초과")</x:f>
        <x:v>범위 내</x:v>
      </x:c>
      <x:c r="I22" s="37" t="n">
        <x:f>MAX(0,MIN($E22,I$7+4)-MAX($D22,I$7)+1)</x:f>
        <x:v>0</x:v>
      </x:c>
      <x:c r="J22" s="37" t="n">
        <x:f>MAX(0,MIN($E22,J$7+4)-MAX($D22,J$7)+1)</x:f>
        <x:v>0</x:v>
      </x:c>
      <x:c r="K22" s="37" t="n">
        <x:f>MAX(0,MIN($E22,K$7+4)-MAX($D22,K$7)+1)</x:f>
        <x:v>0</x:v>
      </x:c>
      <x:c r="L22" s="37" t="n">
        <x:f>MAX(0,MIN($E22,L$7+4)-MAX($D22,L$7)+1)</x:f>
        <x:v>0</x:v>
      </x:c>
      <x:c r="M22" s="37" t="n">
        <x:f>MAX(0,MIN($E22,M$7+4)-MAX($D22,M$7)+1)</x:f>
        <x:v>0</x:v>
      </x:c>
      <x:c r="N22" s="37" t="n">
        <x:f>MAX(0,MIN($E22,N$7+4)-MAX($D22,N$7)+1)</x:f>
        <x:v>0</x:v>
      </x:c>
      <x:c r="O22" s="37" t="n">
        <x:f>MAX(0,MIN($E22,O$7+4)-MAX($D22,O$7)+1)</x:f>
        <x:v>0</x:v>
      </x:c>
      <x:c r="P22" s="37" t="n">
        <x:f>MAX(0,MIN($E22,P$7+4)-MAX($D22,P$7)+1)</x:f>
        <x:v>1</x:v>
      </x:c>
      <x:c r="Q22" s="37" t="n">
        <x:f>MAX(0,MIN($E22,Q$7+4)-MAX($D22,Q$7)+1)</x:f>
        <x:v>0</x:v>
      </x:c>
      <x:c r="R22" s="37" t="n">
        <x:f>MAX(0,MIN($E22,R$7+4)-MAX($D22,R$7)+1)</x:f>
        <x:v>0</x:v>
      </x:c>
      <x:c r="S22" s="37" t="n">
        <x:f>MAX(0,MIN($E22,S$7+4)-MAX($D22,S$7)+1)</x:f>
        <x:v>0</x:v>
      </x:c>
      <x:c r="T22" s="37" t="n">
        <x:f>MAX(0,MIN($E22,T$7+4)-MAX($D22,T$7)+1)</x:f>
        <x:v>0</x:v>
      </x:c>
      <x:c r="U22" s="37" t="n">
        <x:f>MAX(0,MIN($E22,U$7+4)-MAX($D22,U$7)+1)</x:f>
        <x:v>0</x:v>
      </x:c>
      <x:c r="V22" s="37" t="n">
        <x:f>MAX(0,MIN($E22,V$7+4)-MAX($D22,V$7)+1)</x:f>
        <x:v>0</x:v>
      </x:c>
    </x:row>
    <x:row r="23" ht="24" customHeight="1">
      <x:c r="A23" s="6" t="n">
        <x:v>16</x:v>
      </x:c>
      <x:c r="B23" s="6" t="str">
        <x:v>112동</x:v>
      </x:c>
      <x:c r="C23" s="6" t="str">
        <x:v>계획 여유</x:v>
      </x:c>
      <x:c r="D23" s="42" t="n">
        <x:f>'산출기준'!B8+'산출기준'!C42-1</x:f>
        <x:v>41</x:v>
      </x:c>
      <x:c r="E23" s="42" t="n">
        <x:f>'산출기준'!B8+'산출기준'!D42-1</x:f>
        <x:v>45</x:v>
      </x:c>
      <x:c r="F23" s="42" t="n">
        <x:f>E23-D23+1</x:f>
        <x:v>5</x:v>
      </x:c>
      <x:c r="G23" s="6" t="str"/>
      <x:c r="H23" s="6" t="str">
        <x:f>IF(AND(D23&gt;='산출기준'!B8,E23&lt;='산출기준'!C8),"범위 내","구간 초과")</x:f>
        <x:v>범위 내</x:v>
      </x:c>
      <x:c r="I23" s="37" t="n">
        <x:f>MAX(0,MIN($E23,I$7+4)-MAX($D23,I$7)+1)</x:f>
        <x:v>0</x:v>
      </x:c>
      <x:c r="J23" s="37" t="n">
        <x:f>MAX(0,MIN($E23,J$7+4)-MAX($D23,J$7)+1)</x:f>
        <x:v>0</x:v>
      </x:c>
      <x:c r="K23" s="37" t="n">
        <x:f>MAX(0,MIN($E23,K$7+4)-MAX($D23,K$7)+1)</x:f>
        <x:v>0</x:v>
      </x:c>
      <x:c r="L23" s="37" t="n">
        <x:f>MAX(0,MIN($E23,L$7+4)-MAX($D23,L$7)+1)</x:f>
        <x:v>0</x:v>
      </x:c>
      <x:c r="M23" s="37" t="n">
        <x:f>MAX(0,MIN($E23,M$7+4)-MAX($D23,M$7)+1)</x:f>
        <x:v>0</x:v>
      </x:c>
      <x:c r="N23" s="37" t="n">
        <x:f>MAX(0,MIN($E23,N$7+4)-MAX($D23,N$7)+1)</x:f>
        <x:v>0</x:v>
      </x:c>
      <x:c r="O23" s="37" t="n">
        <x:f>MAX(0,MIN($E23,O$7+4)-MAX($D23,O$7)+1)</x:f>
        <x:v>0</x:v>
      </x:c>
      <x:c r="P23" s="37" t="n">
        <x:f>MAX(0,MIN($E23,P$7+4)-MAX($D23,P$7)+1)</x:f>
        <x:v>0</x:v>
      </x:c>
      <x:c r="Q23" s="37" t="n">
        <x:f>MAX(0,MIN($E23,Q$7+4)-MAX($D23,Q$7)+1)</x:f>
        <x:v>5</x:v>
      </x:c>
      <x:c r="R23" s="37" t="n">
        <x:f>MAX(0,MIN($E23,R$7+4)-MAX($D23,R$7)+1)</x:f>
        <x:v>0</x:v>
      </x:c>
      <x:c r="S23" s="37" t="n">
        <x:f>MAX(0,MIN($E23,S$7+4)-MAX($D23,S$7)+1)</x:f>
        <x:v>0</x:v>
      </x:c>
      <x:c r="T23" s="37" t="n">
        <x:f>MAX(0,MIN($E23,T$7+4)-MAX($D23,T$7)+1)</x:f>
        <x:v>0</x:v>
      </x:c>
      <x:c r="U23" s="37" t="n">
        <x:f>MAX(0,MIN($E23,U$7+4)-MAX($D23,U$7)+1)</x:f>
        <x:v>0</x:v>
      </x:c>
      <x:c r="V23" s="37" t="n">
        <x:f>MAX(0,MIN($E23,V$7+4)-MAX($D23,V$7)+1)</x:f>
        <x:v>0</x:v>
      </x:c>
    </x:row>
    <x:row r="24" ht="24" customHeight="1">
      <x:c r="A24" s="38" t="n">
        <x:v>17</x:v>
      </x:c>
      <x:c r="B24" s="38" t="str">
        <x:v>104동</x:v>
      </x:c>
      <x:c r="C24" s="38" t="str">
        <x:v>준비·먹매김</x:v>
      </x:c>
      <x:c r="D24" s="40" t="n">
        <x:f>'산출기준'!B9+'산출기준'!C35-1</x:f>
        <x:v>1</x:v>
      </x:c>
      <x:c r="E24" s="40" t="n">
        <x:f>'산출기준'!B9+'산출기준'!D35-1</x:f>
        <x:v>2</x:v>
      </x:c>
      <x:c r="F24" s="40" t="n">
        <x:f>E24-D24+1</x:f>
        <x:v>2</x:v>
      </x:c>
      <x:c r="G24" s="38" t="str"/>
      <x:c r="H24" s="38" t="str">
        <x:f>IF(AND(D24&gt;='산출기준'!B9,E24&lt;='산출기준'!C9),"범위 내","구간 초과")</x:f>
        <x:v>범위 내</x:v>
      </x:c>
      <x:c r="I24" s="39" t="n">
        <x:f>MAX(0,MIN($E24,I$7+4)-MAX($D24,I$7)+1)</x:f>
        <x:v>2</x:v>
      </x:c>
      <x:c r="J24" s="39" t="n">
        <x:f>MAX(0,MIN($E24,J$7+4)-MAX($D24,J$7)+1)</x:f>
        <x:v>0</x:v>
      </x:c>
      <x:c r="K24" s="39" t="n">
        <x:f>MAX(0,MIN($E24,K$7+4)-MAX($D24,K$7)+1)</x:f>
        <x:v>0</x:v>
      </x:c>
      <x:c r="L24" s="39" t="n">
        <x:f>MAX(0,MIN($E24,L$7+4)-MAX($D24,L$7)+1)</x:f>
        <x:v>0</x:v>
      </x:c>
      <x:c r="M24" s="39" t="n">
        <x:f>MAX(0,MIN($E24,M$7+4)-MAX($D24,M$7)+1)</x:f>
        <x:v>0</x:v>
      </x:c>
      <x:c r="N24" s="39" t="n">
        <x:f>MAX(0,MIN($E24,N$7+4)-MAX($D24,N$7)+1)</x:f>
        <x:v>0</x:v>
      </x:c>
      <x:c r="O24" s="39" t="n">
        <x:f>MAX(0,MIN($E24,O$7+4)-MAX($D24,O$7)+1)</x:f>
        <x:v>0</x:v>
      </x:c>
      <x:c r="P24" s="39" t="n">
        <x:f>MAX(0,MIN($E24,P$7+4)-MAX($D24,P$7)+1)</x:f>
        <x:v>0</x:v>
      </x:c>
      <x:c r="Q24" s="39" t="n">
        <x:f>MAX(0,MIN($E24,Q$7+4)-MAX($D24,Q$7)+1)</x:f>
        <x:v>0</x:v>
      </x:c>
      <x:c r="R24" s="39" t="n">
        <x:f>MAX(0,MIN($E24,R$7+4)-MAX($D24,R$7)+1)</x:f>
        <x:v>0</x:v>
      </x:c>
      <x:c r="S24" s="39" t="n">
        <x:f>MAX(0,MIN($E24,S$7+4)-MAX($D24,S$7)+1)</x:f>
        <x:v>0</x:v>
      </x:c>
      <x:c r="T24" s="39" t="n">
        <x:f>MAX(0,MIN($E24,T$7+4)-MAX($D24,T$7)+1)</x:f>
        <x:v>0</x:v>
      </x:c>
      <x:c r="U24" s="39" t="n">
        <x:f>MAX(0,MIN($E24,U$7+4)-MAX($D24,U$7)+1)</x:f>
        <x:v>0</x:v>
      </x:c>
      <x:c r="V24" s="39" t="n">
        <x:f>MAX(0,MIN($E24,V$7+4)-MAX($D24,V$7)+1)</x:f>
        <x:v>0</x:v>
      </x:c>
    </x:row>
    <x:row r="25" ht="24" customHeight="1">
      <x:c r="A25" s="2" t="n">
        <x:v>18</x:v>
      </x:c>
      <x:c r="B25" s="2" t="str">
        <x:v>104동</x:v>
      </x:c>
      <x:c r="C25" s="2" t="str">
        <x:v>벽체·기둥 철근배근</x:v>
      </x:c>
      <x:c r="D25" s="41" t="n">
        <x:f>'산출기준'!B9+'산출기준'!C36-1</x:f>
        <x:v>3</x:v>
      </x:c>
      <x:c r="E25" s="41" t="n">
        <x:f>'산출기준'!B9+'산출기준'!D36-1</x:f>
        <x:v>7</x:v>
      </x:c>
      <x:c r="F25" s="41" t="n">
        <x:f>E25-D25+1</x:f>
        <x:v>5</x:v>
      </x:c>
      <x:c r="G25" s="2" t="str">
        <x:v>철근</x:v>
      </x:c>
      <x:c r="H25" s="2" t="str">
        <x:f>IF(AND(D25&gt;='산출기준'!B9,E25&lt;='산출기준'!C9),"범위 내","구간 초과")</x:f>
        <x:v>범위 내</x:v>
      </x:c>
      <x:c r="I25" s="37" t="n">
        <x:f>MAX(0,MIN($E25,I$7+4)-MAX($D25,I$7)+1)</x:f>
        <x:v>3</x:v>
      </x:c>
      <x:c r="J25" s="37" t="n">
        <x:f>MAX(0,MIN($E25,J$7+4)-MAX($D25,J$7)+1)</x:f>
        <x:v>2</x:v>
      </x:c>
      <x:c r="K25" s="37" t="n">
        <x:f>MAX(0,MIN($E25,K$7+4)-MAX($D25,K$7)+1)</x:f>
        <x:v>0</x:v>
      </x:c>
      <x:c r="L25" s="37" t="n">
        <x:f>MAX(0,MIN($E25,L$7+4)-MAX($D25,L$7)+1)</x:f>
        <x:v>0</x:v>
      </x:c>
      <x:c r="M25" s="37" t="n">
        <x:f>MAX(0,MIN($E25,M$7+4)-MAX($D25,M$7)+1)</x:f>
        <x:v>0</x:v>
      </x:c>
      <x:c r="N25" s="37" t="n">
        <x:f>MAX(0,MIN($E25,N$7+4)-MAX($D25,N$7)+1)</x:f>
        <x:v>0</x:v>
      </x:c>
      <x:c r="O25" s="37" t="n">
        <x:f>MAX(0,MIN($E25,O$7+4)-MAX($D25,O$7)+1)</x:f>
        <x:v>0</x:v>
      </x:c>
      <x:c r="P25" s="37" t="n">
        <x:f>MAX(0,MIN($E25,P$7+4)-MAX($D25,P$7)+1)</x:f>
        <x:v>0</x:v>
      </x:c>
      <x:c r="Q25" s="37" t="n">
        <x:f>MAX(0,MIN($E25,Q$7+4)-MAX($D25,Q$7)+1)</x:f>
        <x:v>0</x:v>
      </x:c>
      <x:c r="R25" s="37" t="n">
        <x:f>MAX(0,MIN($E25,R$7+4)-MAX($D25,R$7)+1)</x:f>
        <x:v>0</x:v>
      </x:c>
      <x:c r="S25" s="37" t="n">
        <x:f>MAX(0,MIN($E25,S$7+4)-MAX($D25,S$7)+1)</x:f>
        <x:v>0</x:v>
      </x:c>
      <x:c r="T25" s="37" t="n">
        <x:f>MAX(0,MIN($E25,T$7+4)-MAX($D25,T$7)+1)</x:f>
        <x:v>0</x:v>
      </x:c>
      <x:c r="U25" s="37" t="n">
        <x:f>MAX(0,MIN($E25,U$7+4)-MAX($D25,U$7)+1)</x:f>
        <x:v>0</x:v>
      </x:c>
      <x:c r="V25" s="37" t="n">
        <x:f>MAX(0,MIN($E25,V$7+4)-MAX($D25,V$7)+1)</x:f>
        <x:v>0</x:v>
      </x:c>
    </x:row>
    <x:row r="26" ht="24" customHeight="1">
      <x:c r="A26" s="2" t="n">
        <x:v>19</x:v>
      </x:c>
      <x:c r="B26" s="2" t="str">
        <x:v>104동</x:v>
      </x:c>
      <x:c r="C26" s="2" t="str">
        <x:v>수직부 거푸집 설치</x:v>
      </x:c>
      <x:c r="D26" s="41" t="n">
        <x:f>'산출기준'!B9+'산출기준'!C37-1</x:f>
        <x:v>8</x:v>
      </x:c>
      <x:c r="E26" s="41" t="n">
        <x:f>'산출기준'!B9+'산출기준'!D37-1</x:f>
        <x:v>14</x:v>
      </x:c>
      <x:c r="F26" s="41" t="n">
        <x:f>E26-D26+1</x:f>
        <x:v>7</x:v>
      </x:c>
      <x:c r="G26" s="2" t="str">
        <x:v>거푸집</x:v>
      </x:c>
      <x:c r="H26" s="2" t="str">
        <x:f>IF(AND(D26&gt;='산출기준'!B9,E26&lt;='산출기준'!C9),"범위 내","구간 초과")</x:f>
        <x:v>범위 내</x:v>
      </x:c>
      <x:c r="I26" s="37" t="n">
        <x:f>MAX(0,MIN($E26,I$7+4)-MAX($D26,I$7)+1)</x:f>
        <x:v>0</x:v>
      </x:c>
      <x:c r="J26" s="37" t="n">
        <x:f>MAX(0,MIN($E26,J$7+4)-MAX($D26,J$7)+1)</x:f>
        <x:v>3</x:v>
      </x:c>
      <x:c r="K26" s="37" t="n">
        <x:f>MAX(0,MIN($E26,K$7+4)-MAX($D26,K$7)+1)</x:f>
        <x:v>4</x:v>
      </x:c>
      <x:c r="L26" s="37" t="n">
        <x:f>MAX(0,MIN($E26,L$7+4)-MAX($D26,L$7)+1)</x:f>
        <x:v>0</x:v>
      </x:c>
      <x:c r="M26" s="37" t="n">
        <x:f>MAX(0,MIN($E26,M$7+4)-MAX($D26,M$7)+1)</x:f>
        <x:v>0</x:v>
      </x:c>
      <x:c r="N26" s="37" t="n">
        <x:f>MAX(0,MIN($E26,N$7+4)-MAX($D26,N$7)+1)</x:f>
        <x:v>0</x:v>
      </x:c>
      <x:c r="O26" s="37" t="n">
        <x:f>MAX(0,MIN($E26,O$7+4)-MAX($D26,O$7)+1)</x:f>
        <x:v>0</x:v>
      </x:c>
      <x:c r="P26" s="37" t="n">
        <x:f>MAX(0,MIN($E26,P$7+4)-MAX($D26,P$7)+1)</x:f>
        <x:v>0</x:v>
      </x:c>
      <x:c r="Q26" s="37" t="n">
        <x:f>MAX(0,MIN($E26,Q$7+4)-MAX($D26,Q$7)+1)</x:f>
        <x:v>0</x:v>
      </x:c>
      <x:c r="R26" s="37" t="n">
        <x:f>MAX(0,MIN($E26,R$7+4)-MAX($D26,R$7)+1)</x:f>
        <x:v>0</x:v>
      </x:c>
      <x:c r="S26" s="37" t="n">
        <x:f>MAX(0,MIN($E26,S$7+4)-MAX($D26,S$7)+1)</x:f>
        <x:v>0</x:v>
      </x:c>
      <x:c r="T26" s="37" t="n">
        <x:f>MAX(0,MIN($E26,T$7+4)-MAX($D26,T$7)+1)</x:f>
        <x:v>0</x:v>
      </x:c>
      <x:c r="U26" s="37" t="n">
        <x:f>MAX(0,MIN($E26,U$7+4)-MAX($D26,U$7)+1)</x:f>
        <x:v>0</x:v>
      </x:c>
      <x:c r="V26" s="37" t="n">
        <x:f>MAX(0,MIN($E26,V$7+4)-MAX($D26,V$7)+1)</x:f>
        <x:v>0</x:v>
      </x:c>
    </x:row>
    <x:row r="27" ht="24" customHeight="1">
      <x:c r="A27" s="2" t="n">
        <x:v>20</x:v>
      </x:c>
      <x:c r="B27" s="2" t="str">
        <x:v>104동</x:v>
      </x:c>
      <x:c r="C27" s="2" t="str">
        <x:v>시스템동바리 조립</x:v>
      </x:c>
      <x:c r="D27" s="41" t="n">
        <x:f>'산출기준'!B9+'산출기준'!C38-1</x:f>
        <x:v>15</x:v>
      </x:c>
      <x:c r="E27" s="41" t="n">
        <x:f>'산출기준'!B9+'산출기준'!D38-1</x:f>
        <x:v>17</x:v>
      </x:c>
      <x:c r="F27" s="41" t="n">
        <x:f>E27-D27+1</x:f>
        <x:v>3</x:v>
      </x:c>
      <x:c r="G27" s="2" t="str">
        <x:v>시스템동바리</x:v>
      </x:c>
      <x:c r="H27" s="2" t="str">
        <x:f>IF(AND(D27&gt;='산출기준'!B9,E27&lt;='산출기준'!C9),"범위 내","구간 초과")</x:f>
        <x:v>범위 내</x:v>
      </x:c>
      <x:c r="I27" s="37" t="n">
        <x:f>MAX(0,MIN($E27,I$7+4)-MAX($D27,I$7)+1)</x:f>
        <x:v>0</x:v>
      </x:c>
      <x:c r="J27" s="37" t="n">
        <x:f>MAX(0,MIN($E27,J$7+4)-MAX($D27,J$7)+1)</x:f>
        <x:v>0</x:v>
      </x:c>
      <x:c r="K27" s="37" t="n">
        <x:f>MAX(0,MIN($E27,K$7+4)-MAX($D27,K$7)+1)</x:f>
        <x:v>1</x:v>
      </x:c>
      <x:c r="L27" s="37" t="n">
        <x:f>MAX(0,MIN($E27,L$7+4)-MAX($D27,L$7)+1)</x:f>
        <x:v>2</x:v>
      </x:c>
      <x:c r="M27" s="37" t="n">
        <x:f>MAX(0,MIN($E27,M$7+4)-MAX($D27,M$7)+1)</x:f>
        <x:v>0</x:v>
      </x:c>
      <x:c r="N27" s="37" t="n">
        <x:f>MAX(0,MIN($E27,N$7+4)-MAX($D27,N$7)+1)</x:f>
        <x:v>0</x:v>
      </x:c>
      <x:c r="O27" s="37" t="n">
        <x:f>MAX(0,MIN($E27,O$7+4)-MAX($D27,O$7)+1)</x:f>
        <x:v>0</x:v>
      </x:c>
      <x:c r="P27" s="37" t="n">
        <x:f>MAX(0,MIN($E27,P$7+4)-MAX($D27,P$7)+1)</x:f>
        <x:v>0</x:v>
      </x:c>
      <x:c r="Q27" s="37" t="n">
        <x:f>MAX(0,MIN($E27,Q$7+4)-MAX($D27,Q$7)+1)</x:f>
        <x:v>0</x:v>
      </x:c>
      <x:c r="R27" s="37" t="n">
        <x:f>MAX(0,MIN($E27,R$7+4)-MAX($D27,R$7)+1)</x:f>
        <x:v>0</x:v>
      </x:c>
      <x:c r="S27" s="37" t="n">
        <x:f>MAX(0,MIN($E27,S$7+4)-MAX($D27,S$7)+1)</x:f>
        <x:v>0</x:v>
      </x:c>
      <x:c r="T27" s="37" t="n">
        <x:f>MAX(0,MIN($E27,T$7+4)-MAX($D27,T$7)+1)</x:f>
        <x:v>0</x:v>
      </x:c>
      <x:c r="U27" s="37" t="n">
        <x:f>MAX(0,MIN($E27,U$7+4)-MAX($D27,U$7)+1)</x:f>
        <x:v>0</x:v>
      </x:c>
      <x:c r="V27" s="37" t="n">
        <x:f>MAX(0,MIN($E27,V$7+4)-MAX($D27,V$7)+1)</x:f>
        <x:v>0</x:v>
      </x:c>
    </x:row>
    <x:row r="28" ht="24" customHeight="1">
      <x:c r="A28" s="2" t="n">
        <x:v>21</x:v>
      </x:c>
      <x:c r="B28" s="2" t="str">
        <x:v>104동</x:v>
      </x:c>
      <x:c r="C28" s="2" t="str">
        <x:v>보·슬래브 거푸집</x:v>
      </x:c>
      <x:c r="D28" s="41" t="n">
        <x:f>'산출기준'!B9+'산출기준'!C39-1</x:f>
        <x:v>18</x:v>
      </x:c>
      <x:c r="E28" s="41" t="n">
        <x:f>'산출기준'!B9+'산출기준'!D39-1</x:f>
        <x:v>21</x:v>
      </x:c>
      <x:c r="F28" s="41" t="n">
        <x:f>E28-D28+1</x:f>
        <x:v>4</x:v>
      </x:c>
      <x:c r="G28" s="2" t="str">
        <x:v>거푸집</x:v>
      </x:c>
      <x:c r="H28" s="2" t="str">
        <x:f>IF(AND(D28&gt;='산출기준'!B9,E28&lt;='산출기준'!C9),"범위 내","구간 초과")</x:f>
        <x:v>범위 내</x:v>
      </x:c>
      <x:c r="I28" s="37" t="n">
        <x:f>MAX(0,MIN($E28,I$7+4)-MAX($D28,I$7)+1)</x:f>
        <x:v>0</x:v>
      </x:c>
      <x:c r="J28" s="37" t="n">
        <x:f>MAX(0,MIN($E28,J$7+4)-MAX($D28,J$7)+1)</x:f>
        <x:v>0</x:v>
      </x:c>
      <x:c r="K28" s="37" t="n">
        <x:f>MAX(0,MIN($E28,K$7+4)-MAX($D28,K$7)+1)</x:f>
        <x:v>0</x:v>
      </x:c>
      <x:c r="L28" s="37" t="n">
        <x:f>MAX(0,MIN($E28,L$7+4)-MAX($D28,L$7)+1)</x:f>
        <x:v>3</x:v>
      </x:c>
      <x:c r="M28" s="37" t="n">
        <x:f>MAX(0,MIN($E28,M$7+4)-MAX($D28,M$7)+1)</x:f>
        <x:v>1</x:v>
      </x:c>
      <x:c r="N28" s="37" t="n">
        <x:f>MAX(0,MIN($E28,N$7+4)-MAX($D28,N$7)+1)</x:f>
        <x:v>0</x:v>
      </x:c>
      <x:c r="O28" s="37" t="n">
        <x:f>MAX(0,MIN($E28,O$7+4)-MAX($D28,O$7)+1)</x:f>
        <x:v>0</x:v>
      </x:c>
      <x:c r="P28" s="37" t="n">
        <x:f>MAX(0,MIN($E28,P$7+4)-MAX($D28,P$7)+1)</x:f>
        <x:v>0</x:v>
      </x:c>
      <x:c r="Q28" s="37" t="n">
        <x:f>MAX(0,MIN($E28,Q$7+4)-MAX($D28,Q$7)+1)</x:f>
        <x:v>0</x:v>
      </x:c>
      <x:c r="R28" s="37" t="n">
        <x:f>MAX(0,MIN($E28,R$7+4)-MAX($D28,R$7)+1)</x:f>
        <x:v>0</x:v>
      </x:c>
      <x:c r="S28" s="37" t="n">
        <x:f>MAX(0,MIN($E28,S$7+4)-MAX($D28,S$7)+1)</x:f>
        <x:v>0</x:v>
      </x:c>
      <x:c r="T28" s="37" t="n">
        <x:f>MAX(0,MIN($E28,T$7+4)-MAX($D28,T$7)+1)</x:f>
        <x:v>0</x:v>
      </x:c>
      <x:c r="U28" s="37" t="n">
        <x:f>MAX(0,MIN($E28,U$7+4)-MAX($D28,U$7)+1)</x:f>
        <x:v>0</x:v>
      </x:c>
      <x:c r="V28" s="37" t="n">
        <x:f>MAX(0,MIN($E28,V$7+4)-MAX($D28,V$7)+1)</x:f>
        <x:v>0</x:v>
      </x:c>
    </x:row>
    <x:row r="29" ht="24" customHeight="1">
      <x:c r="A29" s="2" t="n">
        <x:v>22</x:v>
      </x:c>
      <x:c r="B29" s="2" t="str">
        <x:v>104동</x:v>
      </x:c>
      <x:c r="C29" s="2" t="str">
        <x:v>보·슬래브 철근배근</x:v>
      </x:c>
      <x:c r="D29" s="41" t="n">
        <x:f>'산출기준'!B9+'산출기준'!C40-1</x:f>
        <x:v>22</x:v>
      </x:c>
      <x:c r="E29" s="41" t="n">
        <x:f>'산출기준'!B9+'산출기준'!D40-1</x:f>
        <x:v>24</x:v>
      </x:c>
      <x:c r="F29" s="41" t="n">
        <x:f>E29-D29+1</x:f>
        <x:v>3</x:v>
      </x:c>
      <x:c r="G29" s="2" t="str">
        <x:v>철근</x:v>
      </x:c>
      <x:c r="H29" s="2" t="str">
        <x:f>IF(AND(D29&gt;='산출기준'!B9,E29&lt;='산출기준'!C9),"범위 내","구간 초과")</x:f>
        <x:v>범위 내</x:v>
      </x:c>
      <x:c r="I29" s="37" t="n">
        <x:f>MAX(0,MIN($E29,I$7+4)-MAX($D29,I$7)+1)</x:f>
        <x:v>0</x:v>
      </x:c>
      <x:c r="J29" s="37" t="n">
        <x:f>MAX(0,MIN($E29,J$7+4)-MAX($D29,J$7)+1)</x:f>
        <x:v>0</x:v>
      </x:c>
      <x:c r="K29" s="37" t="n">
        <x:f>MAX(0,MIN($E29,K$7+4)-MAX($D29,K$7)+1)</x:f>
        <x:v>0</x:v>
      </x:c>
      <x:c r="L29" s="37" t="n">
        <x:f>MAX(0,MIN($E29,L$7+4)-MAX($D29,L$7)+1)</x:f>
        <x:v>0</x:v>
      </x:c>
      <x:c r="M29" s="37" t="n">
        <x:f>MAX(0,MIN($E29,M$7+4)-MAX($D29,M$7)+1)</x:f>
        <x:v>3</x:v>
      </x:c>
      <x:c r="N29" s="37" t="n">
        <x:f>MAX(0,MIN($E29,N$7+4)-MAX($D29,N$7)+1)</x:f>
        <x:v>0</x:v>
      </x:c>
      <x:c r="O29" s="37" t="n">
        <x:f>MAX(0,MIN($E29,O$7+4)-MAX($D29,O$7)+1)</x:f>
        <x:v>0</x:v>
      </x:c>
      <x:c r="P29" s="37" t="n">
        <x:f>MAX(0,MIN($E29,P$7+4)-MAX($D29,P$7)+1)</x:f>
        <x:v>0</x:v>
      </x:c>
      <x:c r="Q29" s="37" t="n">
        <x:f>MAX(0,MIN($E29,Q$7+4)-MAX($D29,Q$7)+1)</x:f>
        <x:v>0</x:v>
      </x:c>
      <x:c r="R29" s="37" t="n">
        <x:f>MAX(0,MIN($E29,R$7+4)-MAX($D29,R$7)+1)</x:f>
        <x:v>0</x:v>
      </x:c>
      <x:c r="S29" s="37" t="n">
        <x:f>MAX(0,MIN($E29,S$7+4)-MAX($D29,S$7)+1)</x:f>
        <x:v>0</x:v>
      </x:c>
      <x:c r="T29" s="37" t="n">
        <x:f>MAX(0,MIN($E29,T$7+4)-MAX($D29,T$7)+1)</x:f>
        <x:v>0</x:v>
      </x:c>
      <x:c r="U29" s="37" t="n">
        <x:f>MAX(0,MIN($E29,U$7+4)-MAX($D29,U$7)+1)</x:f>
        <x:v>0</x:v>
      </x:c>
      <x:c r="V29" s="37" t="n">
        <x:f>MAX(0,MIN($E29,V$7+4)-MAX($D29,V$7)+1)</x:f>
        <x:v>0</x:v>
      </x:c>
    </x:row>
    <x:row r="30" ht="24" customHeight="1">
      <x:c r="A30" s="2" t="n">
        <x:v>23</x:v>
      </x:c>
      <x:c r="B30" s="2" t="str">
        <x:v>104동</x:v>
      </x:c>
      <x:c r="C30" s="2" t="str">
        <x:v>검측·콘크리트 타설</x:v>
      </x:c>
      <x:c r="D30" s="41" t="n">
        <x:f>'산출기준'!B9+'산출기준'!C41-1</x:f>
        <x:v>25</x:v>
      </x:c>
      <x:c r="E30" s="41" t="n">
        <x:f>'산출기준'!B9+'산출기준'!D41-1</x:f>
        <x:v>25</x:v>
      </x:c>
      <x:c r="F30" s="41" t="n">
        <x:f>E30-D30+1</x:f>
        <x:v>1</x:v>
      </x:c>
      <x:c r="G30" s="2" t="str"/>
      <x:c r="H30" s="2" t="str">
        <x:f>IF(AND(D30&gt;='산출기준'!B9,E30&lt;='산출기준'!C9),"범위 내","구간 초과")</x:f>
        <x:v>범위 내</x:v>
      </x:c>
      <x:c r="I30" s="37" t="n">
        <x:f>MAX(0,MIN($E30,I$7+4)-MAX($D30,I$7)+1)</x:f>
        <x:v>0</x:v>
      </x:c>
      <x:c r="J30" s="37" t="n">
        <x:f>MAX(0,MIN($E30,J$7+4)-MAX($D30,J$7)+1)</x:f>
        <x:v>0</x:v>
      </x:c>
      <x:c r="K30" s="37" t="n">
        <x:f>MAX(0,MIN($E30,K$7+4)-MAX($D30,K$7)+1)</x:f>
        <x:v>0</x:v>
      </x:c>
      <x:c r="L30" s="37" t="n">
        <x:f>MAX(0,MIN($E30,L$7+4)-MAX($D30,L$7)+1)</x:f>
        <x:v>0</x:v>
      </x:c>
      <x:c r="M30" s="37" t="n">
        <x:f>MAX(0,MIN($E30,M$7+4)-MAX($D30,M$7)+1)</x:f>
        <x:v>1</x:v>
      </x:c>
      <x:c r="N30" s="37" t="n">
        <x:f>MAX(0,MIN($E30,N$7+4)-MAX($D30,N$7)+1)</x:f>
        <x:v>0</x:v>
      </x:c>
      <x:c r="O30" s="37" t="n">
        <x:f>MAX(0,MIN($E30,O$7+4)-MAX($D30,O$7)+1)</x:f>
        <x:v>0</x:v>
      </x:c>
      <x:c r="P30" s="37" t="n">
        <x:f>MAX(0,MIN($E30,P$7+4)-MAX($D30,P$7)+1)</x:f>
        <x:v>0</x:v>
      </x:c>
      <x:c r="Q30" s="37" t="n">
        <x:f>MAX(0,MIN($E30,Q$7+4)-MAX($D30,Q$7)+1)</x:f>
        <x:v>0</x:v>
      </x:c>
      <x:c r="R30" s="37" t="n">
        <x:f>MAX(0,MIN($E30,R$7+4)-MAX($D30,R$7)+1)</x:f>
        <x:v>0</x:v>
      </x:c>
      <x:c r="S30" s="37" t="n">
        <x:f>MAX(0,MIN($E30,S$7+4)-MAX($D30,S$7)+1)</x:f>
        <x:v>0</x:v>
      </x:c>
      <x:c r="T30" s="37" t="n">
        <x:f>MAX(0,MIN($E30,T$7+4)-MAX($D30,T$7)+1)</x:f>
        <x:v>0</x:v>
      </x:c>
      <x:c r="U30" s="37" t="n">
        <x:f>MAX(0,MIN($E30,U$7+4)-MAX($D30,U$7)+1)</x:f>
        <x:v>0</x:v>
      </x:c>
      <x:c r="V30" s="37" t="n">
        <x:f>MAX(0,MIN($E30,V$7+4)-MAX($D30,V$7)+1)</x:f>
        <x:v>0</x:v>
      </x:c>
    </x:row>
    <x:row r="31" ht="24" customHeight="1">
      <x:c r="A31" s="6" t="n">
        <x:v>24</x:v>
      </x:c>
      <x:c r="B31" s="6" t="str">
        <x:v>104동</x:v>
      </x:c>
      <x:c r="C31" s="6" t="str">
        <x:v>계획 여유</x:v>
      </x:c>
      <x:c r="D31" s="42" t="n">
        <x:f>'산출기준'!B9+'산출기준'!C42-1</x:f>
        <x:v>26</x:v>
      </x:c>
      <x:c r="E31" s="42" t="n">
        <x:f>'산출기준'!B9+'산출기준'!D42-1</x:f>
        <x:v>30</x:v>
      </x:c>
      <x:c r="F31" s="42" t="n">
        <x:f>E31-D31+1</x:f>
        <x:v>5</x:v>
      </x:c>
      <x:c r="G31" s="6" t="str"/>
      <x:c r="H31" s="6" t="str">
        <x:f>IF(AND(D31&gt;='산출기준'!B9,E31&lt;='산출기준'!C9),"범위 내","구간 초과")</x:f>
        <x:v>범위 내</x:v>
      </x:c>
      <x:c r="I31" s="37" t="n">
        <x:f>MAX(0,MIN($E31,I$7+4)-MAX($D31,I$7)+1)</x:f>
        <x:v>0</x:v>
      </x:c>
      <x:c r="J31" s="37" t="n">
        <x:f>MAX(0,MIN($E31,J$7+4)-MAX($D31,J$7)+1)</x:f>
        <x:v>0</x:v>
      </x:c>
      <x:c r="K31" s="37" t="n">
        <x:f>MAX(0,MIN($E31,K$7+4)-MAX($D31,K$7)+1)</x:f>
        <x:v>0</x:v>
      </x:c>
      <x:c r="L31" s="37" t="n">
        <x:f>MAX(0,MIN($E31,L$7+4)-MAX($D31,L$7)+1)</x:f>
        <x:v>0</x:v>
      </x:c>
      <x:c r="M31" s="37" t="n">
        <x:f>MAX(0,MIN($E31,M$7+4)-MAX($D31,M$7)+1)</x:f>
        <x:v>0</x:v>
      </x:c>
      <x:c r="N31" s="37" t="n">
        <x:f>MAX(0,MIN($E31,N$7+4)-MAX($D31,N$7)+1)</x:f>
        <x:v>5</x:v>
      </x:c>
      <x:c r="O31" s="37" t="n">
        <x:f>MAX(0,MIN($E31,O$7+4)-MAX($D31,O$7)+1)</x:f>
        <x:v>0</x:v>
      </x:c>
      <x:c r="P31" s="37" t="n">
        <x:f>MAX(0,MIN($E31,P$7+4)-MAX($D31,P$7)+1)</x:f>
        <x:v>0</x:v>
      </x:c>
      <x:c r="Q31" s="37" t="n">
        <x:f>MAX(0,MIN($E31,Q$7+4)-MAX($D31,Q$7)+1)</x:f>
        <x:v>0</x:v>
      </x:c>
      <x:c r="R31" s="37" t="n">
        <x:f>MAX(0,MIN($E31,R$7+4)-MAX($D31,R$7)+1)</x:f>
        <x:v>0</x:v>
      </x:c>
      <x:c r="S31" s="37" t="n">
        <x:f>MAX(0,MIN($E31,S$7+4)-MAX($D31,S$7)+1)</x:f>
        <x:v>0</x:v>
      </x:c>
      <x:c r="T31" s="37" t="n">
        <x:f>MAX(0,MIN($E31,T$7+4)-MAX($D31,T$7)+1)</x:f>
        <x:v>0</x:v>
      </x:c>
      <x:c r="U31" s="37" t="n">
        <x:f>MAX(0,MIN($E31,U$7+4)-MAX($D31,U$7)+1)</x:f>
        <x:v>0</x:v>
      </x:c>
      <x:c r="V31" s="37" t="n">
        <x:f>MAX(0,MIN($E31,V$7+4)-MAX($D31,V$7)+1)</x:f>
        <x:v>0</x:v>
      </x:c>
    </x:row>
    <x:row r="32" ht="24" customHeight="1">
      <x:c r="A32" s="38" t="n">
        <x:v>25</x:v>
      </x:c>
      <x:c r="B32" s="38" t="str">
        <x:v>105동</x:v>
      </x:c>
      <x:c r="C32" s="38" t="str">
        <x:v>준비·먹매김</x:v>
      </x:c>
      <x:c r="D32" s="40" t="n">
        <x:f>'산출기준'!B10+'산출기준'!C35-1</x:f>
        <x:v>6</x:v>
      </x:c>
      <x:c r="E32" s="40" t="n">
        <x:f>'산출기준'!B10+'산출기준'!D35-1</x:f>
        <x:v>7</x:v>
      </x:c>
      <x:c r="F32" s="40" t="n">
        <x:f>E32-D32+1</x:f>
        <x:v>2</x:v>
      </x:c>
      <x:c r="G32" s="38" t="str"/>
      <x:c r="H32" s="38" t="str">
        <x:f>IF(AND(D32&gt;='산출기준'!B10,E32&lt;='산출기준'!C10),"범위 내","구간 초과")</x:f>
        <x:v>범위 내</x:v>
      </x:c>
      <x:c r="I32" s="39" t="n">
        <x:f>MAX(0,MIN($E32,I$7+4)-MAX($D32,I$7)+1)</x:f>
        <x:v>0</x:v>
      </x:c>
      <x:c r="J32" s="39" t="n">
        <x:f>MAX(0,MIN($E32,J$7+4)-MAX($D32,J$7)+1)</x:f>
        <x:v>2</x:v>
      </x:c>
      <x:c r="K32" s="39" t="n">
        <x:f>MAX(0,MIN($E32,K$7+4)-MAX($D32,K$7)+1)</x:f>
        <x:v>0</x:v>
      </x:c>
      <x:c r="L32" s="39" t="n">
        <x:f>MAX(0,MIN($E32,L$7+4)-MAX($D32,L$7)+1)</x:f>
        <x:v>0</x:v>
      </x:c>
      <x:c r="M32" s="39" t="n">
        <x:f>MAX(0,MIN($E32,M$7+4)-MAX($D32,M$7)+1)</x:f>
        <x:v>0</x:v>
      </x:c>
      <x:c r="N32" s="39" t="n">
        <x:f>MAX(0,MIN($E32,N$7+4)-MAX($D32,N$7)+1)</x:f>
        <x:v>0</x:v>
      </x:c>
      <x:c r="O32" s="39" t="n">
        <x:f>MAX(0,MIN($E32,O$7+4)-MAX($D32,O$7)+1)</x:f>
        <x:v>0</x:v>
      </x:c>
      <x:c r="P32" s="39" t="n">
        <x:f>MAX(0,MIN($E32,P$7+4)-MAX($D32,P$7)+1)</x:f>
        <x:v>0</x:v>
      </x:c>
      <x:c r="Q32" s="39" t="n">
        <x:f>MAX(0,MIN($E32,Q$7+4)-MAX($D32,Q$7)+1)</x:f>
        <x:v>0</x:v>
      </x:c>
      <x:c r="R32" s="39" t="n">
        <x:f>MAX(0,MIN($E32,R$7+4)-MAX($D32,R$7)+1)</x:f>
        <x:v>0</x:v>
      </x:c>
      <x:c r="S32" s="39" t="n">
        <x:f>MAX(0,MIN($E32,S$7+4)-MAX($D32,S$7)+1)</x:f>
        <x:v>0</x:v>
      </x:c>
      <x:c r="T32" s="39" t="n">
        <x:f>MAX(0,MIN($E32,T$7+4)-MAX($D32,T$7)+1)</x:f>
        <x:v>0</x:v>
      </x:c>
      <x:c r="U32" s="39" t="n">
        <x:f>MAX(0,MIN($E32,U$7+4)-MAX($D32,U$7)+1)</x:f>
        <x:v>0</x:v>
      </x:c>
      <x:c r="V32" s="39" t="n">
        <x:f>MAX(0,MIN($E32,V$7+4)-MAX($D32,V$7)+1)</x:f>
        <x:v>0</x:v>
      </x:c>
    </x:row>
    <x:row r="33" ht="24" customHeight="1">
      <x:c r="A33" s="2" t="n">
        <x:v>26</x:v>
      </x:c>
      <x:c r="B33" s="2" t="str">
        <x:v>105동</x:v>
      </x:c>
      <x:c r="C33" s="2" t="str">
        <x:v>벽체·기둥 철근배근</x:v>
      </x:c>
      <x:c r="D33" s="41" t="n">
        <x:f>'산출기준'!B10+'산출기준'!C36-1</x:f>
        <x:v>8</x:v>
      </x:c>
      <x:c r="E33" s="41" t="n">
        <x:f>'산출기준'!B10+'산출기준'!D36-1</x:f>
        <x:v>12</x:v>
      </x:c>
      <x:c r="F33" s="41" t="n">
        <x:f>E33-D33+1</x:f>
        <x:v>5</x:v>
      </x:c>
      <x:c r="G33" s="2" t="str">
        <x:v>철근</x:v>
      </x:c>
      <x:c r="H33" s="2" t="str">
        <x:f>IF(AND(D33&gt;='산출기준'!B10,E33&lt;='산출기준'!C10),"범위 내","구간 초과")</x:f>
        <x:v>범위 내</x:v>
      </x:c>
      <x:c r="I33" s="37" t="n">
        <x:f>MAX(0,MIN($E33,I$7+4)-MAX($D33,I$7)+1)</x:f>
        <x:v>0</x:v>
      </x:c>
      <x:c r="J33" s="37" t="n">
        <x:f>MAX(0,MIN($E33,J$7+4)-MAX($D33,J$7)+1)</x:f>
        <x:v>3</x:v>
      </x:c>
      <x:c r="K33" s="37" t="n">
        <x:f>MAX(0,MIN($E33,K$7+4)-MAX($D33,K$7)+1)</x:f>
        <x:v>2</x:v>
      </x:c>
      <x:c r="L33" s="37" t="n">
        <x:f>MAX(0,MIN($E33,L$7+4)-MAX($D33,L$7)+1)</x:f>
        <x:v>0</x:v>
      </x:c>
      <x:c r="M33" s="37" t="n">
        <x:f>MAX(0,MIN($E33,M$7+4)-MAX($D33,M$7)+1)</x:f>
        <x:v>0</x:v>
      </x:c>
      <x:c r="N33" s="37" t="n">
        <x:f>MAX(0,MIN($E33,N$7+4)-MAX($D33,N$7)+1)</x:f>
        <x:v>0</x:v>
      </x:c>
      <x:c r="O33" s="37" t="n">
        <x:f>MAX(0,MIN($E33,O$7+4)-MAX($D33,O$7)+1)</x:f>
        <x:v>0</x:v>
      </x:c>
      <x:c r="P33" s="37" t="n">
        <x:f>MAX(0,MIN($E33,P$7+4)-MAX($D33,P$7)+1)</x:f>
        <x:v>0</x:v>
      </x:c>
      <x:c r="Q33" s="37" t="n">
        <x:f>MAX(0,MIN($E33,Q$7+4)-MAX($D33,Q$7)+1)</x:f>
        <x:v>0</x:v>
      </x:c>
      <x:c r="R33" s="37" t="n">
        <x:f>MAX(0,MIN($E33,R$7+4)-MAX($D33,R$7)+1)</x:f>
        <x:v>0</x:v>
      </x:c>
      <x:c r="S33" s="37" t="n">
        <x:f>MAX(0,MIN($E33,S$7+4)-MAX($D33,S$7)+1)</x:f>
        <x:v>0</x:v>
      </x:c>
      <x:c r="T33" s="37" t="n">
        <x:f>MAX(0,MIN($E33,T$7+4)-MAX($D33,T$7)+1)</x:f>
        <x:v>0</x:v>
      </x:c>
      <x:c r="U33" s="37" t="n">
        <x:f>MAX(0,MIN($E33,U$7+4)-MAX($D33,U$7)+1)</x:f>
        <x:v>0</x:v>
      </x:c>
      <x:c r="V33" s="37" t="n">
        <x:f>MAX(0,MIN($E33,V$7+4)-MAX($D33,V$7)+1)</x:f>
        <x:v>0</x:v>
      </x:c>
    </x:row>
    <x:row r="34" ht="24" customHeight="1">
      <x:c r="A34" s="2" t="n">
        <x:v>27</x:v>
      </x:c>
      <x:c r="B34" s="2" t="str">
        <x:v>105동</x:v>
      </x:c>
      <x:c r="C34" s="2" t="str">
        <x:v>수직부 거푸집 설치</x:v>
      </x:c>
      <x:c r="D34" s="41" t="n">
        <x:f>'산출기준'!B10+'산출기준'!C37-1</x:f>
        <x:v>13</x:v>
      </x:c>
      <x:c r="E34" s="41" t="n">
        <x:f>'산출기준'!B10+'산출기준'!D37-1</x:f>
        <x:v>19</x:v>
      </x:c>
      <x:c r="F34" s="41" t="n">
        <x:f>E34-D34+1</x:f>
        <x:v>7</x:v>
      </x:c>
      <x:c r="G34" s="2" t="str">
        <x:v>거푸집</x:v>
      </x:c>
      <x:c r="H34" s="2" t="str">
        <x:f>IF(AND(D34&gt;='산출기준'!B10,E34&lt;='산출기준'!C10),"범위 내","구간 초과")</x:f>
        <x:v>범위 내</x:v>
      </x:c>
      <x:c r="I34" s="37" t="n">
        <x:f>MAX(0,MIN($E34,I$7+4)-MAX($D34,I$7)+1)</x:f>
        <x:v>0</x:v>
      </x:c>
      <x:c r="J34" s="37" t="n">
        <x:f>MAX(0,MIN($E34,J$7+4)-MAX($D34,J$7)+1)</x:f>
        <x:v>0</x:v>
      </x:c>
      <x:c r="K34" s="37" t="n">
        <x:f>MAX(0,MIN($E34,K$7+4)-MAX($D34,K$7)+1)</x:f>
        <x:v>3</x:v>
      </x:c>
      <x:c r="L34" s="37" t="n">
        <x:f>MAX(0,MIN($E34,L$7+4)-MAX($D34,L$7)+1)</x:f>
        <x:v>4</x:v>
      </x:c>
      <x:c r="M34" s="37" t="n">
        <x:f>MAX(0,MIN($E34,M$7+4)-MAX($D34,M$7)+1)</x:f>
        <x:v>0</x:v>
      </x:c>
      <x:c r="N34" s="37" t="n">
        <x:f>MAX(0,MIN($E34,N$7+4)-MAX($D34,N$7)+1)</x:f>
        <x:v>0</x:v>
      </x:c>
      <x:c r="O34" s="37" t="n">
        <x:f>MAX(0,MIN($E34,O$7+4)-MAX($D34,O$7)+1)</x:f>
        <x:v>0</x:v>
      </x:c>
      <x:c r="P34" s="37" t="n">
        <x:f>MAX(0,MIN($E34,P$7+4)-MAX($D34,P$7)+1)</x:f>
        <x:v>0</x:v>
      </x:c>
      <x:c r="Q34" s="37" t="n">
        <x:f>MAX(0,MIN($E34,Q$7+4)-MAX($D34,Q$7)+1)</x:f>
        <x:v>0</x:v>
      </x:c>
      <x:c r="R34" s="37" t="n">
        <x:f>MAX(0,MIN($E34,R$7+4)-MAX($D34,R$7)+1)</x:f>
        <x:v>0</x:v>
      </x:c>
      <x:c r="S34" s="37" t="n">
        <x:f>MAX(0,MIN($E34,S$7+4)-MAX($D34,S$7)+1)</x:f>
        <x:v>0</x:v>
      </x:c>
      <x:c r="T34" s="37" t="n">
        <x:f>MAX(0,MIN($E34,T$7+4)-MAX($D34,T$7)+1)</x:f>
        <x:v>0</x:v>
      </x:c>
      <x:c r="U34" s="37" t="n">
        <x:f>MAX(0,MIN($E34,U$7+4)-MAX($D34,U$7)+1)</x:f>
        <x:v>0</x:v>
      </x:c>
      <x:c r="V34" s="37" t="n">
        <x:f>MAX(0,MIN($E34,V$7+4)-MAX($D34,V$7)+1)</x:f>
        <x:v>0</x:v>
      </x:c>
    </x:row>
    <x:row r="35" ht="24" customHeight="1">
      <x:c r="A35" s="2" t="n">
        <x:v>28</x:v>
      </x:c>
      <x:c r="B35" s="2" t="str">
        <x:v>105동</x:v>
      </x:c>
      <x:c r="C35" s="2" t="str">
        <x:v>시스템동바리 조립</x:v>
      </x:c>
      <x:c r="D35" s="41" t="n">
        <x:f>'산출기준'!B10+'산출기준'!C38-1</x:f>
        <x:v>20</x:v>
      </x:c>
      <x:c r="E35" s="41" t="n">
        <x:f>'산출기준'!B10+'산출기준'!D38-1</x:f>
        <x:v>22</x:v>
      </x:c>
      <x:c r="F35" s="41" t="n">
        <x:f>E35-D35+1</x:f>
        <x:v>3</x:v>
      </x:c>
      <x:c r="G35" s="2" t="str">
        <x:v>시스템동바리</x:v>
      </x:c>
      <x:c r="H35" s="2" t="str">
        <x:f>IF(AND(D35&gt;='산출기준'!B10,E35&lt;='산출기준'!C10),"범위 내","구간 초과")</x:f>
        <x:v>범위 내</x:v>
      </x:c>
      <x:c r="I35" s="37" t="n">
        <x:f>MAX(0,MIN($E35,I$7+4)-MAX($D35,I$7)+1)</x:f>
        <x:v>0</x:v>
      </x:c>
      <x:c r="J35" s="37" t="n">
        <x:f>MAX(0,MIN($E35,J$7+4)-MAX($D35,J$7)+1)</x:f>
        <x:v>0</x:v>
      </x:c>
      <x:c r="K35" s="37" t="n">
        <x:f>MAX(0,MIN($E35,K$7+4)-MAX($D35,K$7)+1)</x:f>
        <x:v>0</x:v>
      </x:c>
      <x:c r="L35" s="37" t="n">
        <x:f>MAX(0,MIN($E35,L$7+4)-MAX($D35,L$7)+1)</x:f>
        <x:v>1</x:v>
      </x:c>
      <x:c r="M35" s="37" t="n">
        <x:f>MAX(0,MIN($E35,M$7+4)-MAX($D35,M$7)+1)</x:f>
        <x:v>2</x:v>
      </x:c>
      <x:c r="N35" s="37" t="n">
        <x:f>MAX(0,MIN($E35,N$7+4)-MAX($D35,N$7)+1)</x:f>
        <x:v>0</x:v>
      </x:c>
      <x:c r="O35" s="37" t="n">
        <x:f>MAX(0,MIN($E35,O$7+4)-MAX($D35,O$7)+1)</x:f>
        <x:v>0</x:v>
      </x:c>
      <x:c r="P35" s="37" t="n">
        <x:f>MAX(0,MIN($E35,P$7+4)-MAX($D35,P$7)+1)</x:f>
        <x:v>0</x:v>
      </x:c>
      <x:c r="Q35" s="37" t="n">
        <x:f>MAX(0,MIN($E35,Q$7+4)-MAX($D35,Q$7)+1)</x:f>
        <x:v>0</x:v>
      </x:c>
      <x:c r="R35" s="37" t="n">
        <x:f>MAX(0,MIN($E35,R$7+4)-MAX($D35,R$7)+1)</x:f>
        <x:v>0</x:v>
      </x:c>
      <x:c r="S35" s="37" t="n">
        <x:f>MAX(0,MIN($E35,S$7+4)-MAX($D35,S$7)+1)</x:f>
        <x:v>0</x:v>
      </x:c>
      <x:c r="T35" s="37" t="n">
        <x:f>MAX(0,MIN($E35,T$7+4)-MAX($D35,T$7)+1)</x:f>
        <x:v>0</x:v>
      </x:c>
      <x:c r="U35" s="37" t="n">
        <x:f>MAX(0,MIN($E35,U$7+4)-MAX($D35,U$7)+1)</x:f>
        <x:v>0</x:v>
      </x:c>
      <x:c r="V35" s="37" t="n">
        <x:f>MAX(0,MIN($E35,V$7+4)-MAX($D35,V$7)+1)</x:f>
        <x:v>0</x:v>
      </x:c>
    </x:row>
    <x:row r="36" ht="24" customHeight="1">
      <x:c r="A36" s="2" t="n">
        <x:v>29</x:v>
      </x:c>
      <x:c r="B36" s="2" t="str">
        <x:v>105동</x:v>
      </x:c>
      <x:c r="C36" s="2" t="str">
        <x:v>보·슬래브 거푸집</x:v>
      </x:c>
      <x:c r="D36" s="41" t="n">
        <x:f>'산출기준'!B10+'산출기준'!C39-1</x:f>
        <x:v>23</x:v>
      </x:c>
      <x:c r="E36" s="41" t="n">
        <x:f>'산출기준'!B10+'산출기준'!D39-1</x:f>
        <x:v>26</x:v>
      </x:c>
      <x:c r="F36" s="41" t="n">
        <x:f>E36-D36+1</x:f>
        <x:v>4</x:v>
      </x:c>
      <x:c r="G36" s="2" t="str">
        <x:v>거푸집</x:v>
      </x:c>
      <x:c r="H36" s="2" t="str">
        <x:f>IF(AND(D36&gt;='산출기준'!B10,E36&lt;='산출기준'!C10),"범위 내","구간 초과")</x:f>
        <x:v>범위 내</x:v>
      </x:c>
      <x:c r="I36" s="37" t="n">
        <x:f>MAX(0,MIN($E36,I$7+4)-MAX($D36,I$7)+1)</x:f>
        <x:v>0</x:v>
      </x:c>
      <x:c r="J36" s="37" t="n">
        <x:f>MAX(0,MIN($E36,J$7+4)-MAX($D36,J$7)+1)</x:f>
        <x:v>0</x:v>
      </x:c>
      <x:c r="K36" s="37" t="n">
        <x:f>MAX(0,MIN($E36,K$7+4)-MAX($D36,K$7)+1)</x:f>
        <x:v>0</x:v>
      </x:c>
      <x:c r="L36" s="37" t="n">
        <x:f>MAX(0,MIN($E36,L$7+4)-MAX($D36,L$7)+1)</x:f>
        <x:v>0</x:v>
      </x:c>
      <x:c r="M36" s="37" t="n">
        <x:f>MAX(0,MIN($E36,M$7+4)-MAX($D36,M$7)+1)</x:f>
        <x:v>3</x:v>
      </x:c>
      <x:c r="N36" s="37" t="n">
        <x:f>MAX(0,MIN($E36,N$7+4)-MAX($D36,N$7)+1)</x:f>
        <x:v>1</x:v>
      </x:c>
      <x:c r="O36" s="37" t="n">
        <x:f>MAX(0,MIN($E36,O$7+4)-MAX($D36,O$7)+1)</x:f>
        <x:v>0</x:v>
      </x:c>
      <x:c r="P36" s="37" t="n">
        <x:f>MAX(0,MIN($E36,P$7+4)-MAX($D36,P$7)+1)</x:f>
        <x:v>0</x:v>
      </x:c>
      <x:c r="Q36" s="37" t="n">
        <x:f>MAX(0,MIN($E36,Q$7+4)-MAX($D36,Q$7)+1)</x:f>
        <x:v>0</x:v>
      </x:c>
      <x:c r="R36" s="37" t="n">
        <x:f>MAX(0,MIN($E36,R$7+4)-MAX($D36,R$7)+1)</x:f>
        <x:v>0</x:v>
      </x:c>
      <x:c r="S36" s="37" t="n">
        <x:f>MAX(0,MIN($E36,S$7+4)-MAX($D36,S$7)+1)</x:f>
        <x:v>0</x:v>
      </x:c>
      <x:c r="T36" s="37" t="n">
        <x:f>MAX(0,MIN($E36,T$7+4)-MAX($D36,T$7)+1)</x:f>
        <x:v>0</x:v>
      </x:c>
      <x:c r="U36" s="37" t="n">
        <x:f>MAX(0,MIN($E36,U$7+4)-MAX($D36,U$7)+1)</x:f>
        <x:v>0</x:v>
      </x:c>
      <x:c r="V36" s="37" t="n">
        <x:f>MAX(0,MIN($E36,V$7+4)-MAX($D36,V$7)+1)</x:f>
        <x:v>0</x:v>
      </x:c>
    </x:row>
    <x:row r="37" ht="24" customHeight="1">
      <x:c r="A37" s="2" t="n">
        <x:v>30</x:v>
      </x:c>
      <x:c r="B37" s="2" t="str">
        <x:v>105동</x:v>
      </x:c>
      <x:c r="C37" s="2" t="str">
        <x:v>보·슬래브 철근배근</x:v>
      </x:c>
      <x:c r="D37" s="41" t="n">
        <x:f>'산출기준'!B10+'산출기준'!C40-1</x:f>
        <x:v>27</x:v>
      </x:c>
      <x:c r="E37" s="41" t="n">
        <x:f>'산출기준'!B10+'산출기준'!D40-1</x:f>
        <x:v>29</x:v>
      </x:c>
      <x:c r="F37" s="41" t="n">
        <x:f>E37-D37+1</x:f>
        <x:v>3</x:v>
      </x:c>
      <x:c r="G37" s="2" t="str">
        <x:v>철근</x:v>
      </x:c>
      <x:c r="H37" s="2" t="str">
        <x:f>IF(AND(D37&gt;='산출기준'!B10,E37&lt;='산출기준'!C10),"범위 내","구간 초과")</x:f>
        <x:v>범위 내</x:v>
      </x:c>
      <x:c r="I37" s="37" t="n">
        <x:f>MAX(0,MIN($E37,I$7+4)-MAX($D37,I$7)+1)</x:f>
        <x:v>0</x:v>
      </x:c>
      <x:c r="J37" s="37" t="n">
        <x:f>MAX(0,MIN($E37,J$7+4)-MAX($D37,J$7)+1)</x:f>
        <x:v>0</x:v>
      </x:c>
      <x:c r="K37" s="37" t="n">
        <x:f>MAX(0,MIN($E37,K$7+4)-MAX($D37,K$7)+1)</x:f>
        <x:v>0</x:v>
      </x:c>
      <x:c r="L37" s="37" t="n">
        <x:f>MAX(0,MIN($E37,L$7+4)-MAX($D37,L$7)+1)</x:f>
        <x:v>0</x:v>
      </x:c>
      <x:c r="M37" s="37" t="n">
        <x:f>MAX(0,MIN($E37,M$7+4)-MAX($D37,M$7)+1)</x:f>
        <x:v>0</x:v>
      </x:c>
      <x:c r="N37" s="37" t="n">
        <x:f>MAX(0,MIN($E37,N$7+4)-MAX($D37,N$7)+1)</x:f>
        <x:v>3</x:v>
      </x:c>
      <x:c r="O37" s="37" t="n">
        <x:f>MAX(0,MIN($E37,O$7+4)-MAX($D37,O$7)+1)</x:f>
        <x:v>0</x:v>
      </x:c>
      <x:c r="P37" s="37" t="n">
        <x:f>MAX(0,MIN($E37,P$7+4)-MAX($D37,P$7)+1)</x:f>
        <x:v>0</x:v>
      </x:c>
      <x:c r="Q37" s="37" t="n">
        <x:f>MAX(0,MIN($E37,Q$7+4)-MAX($D37,Q$7)+1)</x:f>
        <x:v>0</x:v>
      </x:c>
      <x:c r="R37" s="37" t="n">
        <x:f>MAX(0,MIN($E37,R$7+4)-MAX($D37,R$7)+1)</x:f>
        <x:v>0</x:v>
      </x:c>
      <x:c r="S37" s="37" t="n">
        <x:f>MAX(0,MIN($E37,S$7+4)-MAX($D37,S$7)+1)</x:f>
        <x:v>0</x:v>
      </x:c>
      <x:c r="T37" s="37" t="n">
        <x:f>MAX(0,MIN($E37,T$7+4)-MAX($D37,T$7)+1)</x:f>
        <x:v>0</x:v>
      </x:c>
      <x:c r="U37" s="37" t="n">
        <x:f>MAX(0,MIN($E37,U$7+4)-MAX($D37,U$7)+1)</x:f>
        <x:v>0</x:v>
      </x:c>
      <x:c r="V37" s="37" t="n">
        <x:f>MAX(0,MIN($E37,V$7+4)-MAX($D37,V$7)+1)</x:f>
        <x:v>0</x:v>
      </x:c>
    </x:row>
    <x:row r="38" ht="24" customHeight="1">
      <x:c r="A38" s="2" t="n">
        <x:v>31</x:v>
      </x:c>
      <x:c r="B38" s="2" t="str">
        <x:v>105동</x:v>
      </x:c>
      <x:c r="C38" s="2" t="str">
        <x:v>검측·콘크리트 타설</x:v>
      </x:c>
      <x:c r="D38" s="41" t="n">
        <x:f>'산출기준'!B10+'산출기준'!C41-1</x:f>
        <x:v>30</x:v>
      </x:c>
      <x:c r="E38" s="41" t="n">
        <x:f>'산출기준'!B10+'산출기준'!D41-1</x:f>
        <x:v>30</x:v>
      </x:c>
      <x:c r="F38" s="41" t="n">
        <x:f>E38-D38+1</x:f>
        <x:v>1</x:v>
      </x:c>
      <x:c r="G38" s="2" t="str"/>
      <x:c r="H38" s="2" t="str">
        <x:f>IF(AND(D38&gt;='산출기준'!B10,E38&lt;='산출기준'!C10),"범위 내","구간 초과")</x:f>
        <x:v>범위 내</x:v>
      </x:c>
      <x:c r="I38" s="37" t="n">
        <x:f>MAX(0,MIN($E38,I$7+4)-MAX($D38,I$7)+1)</x:f>
        <x:v>0</x:v>
      </x:c>
      <x:c r="J38" s="37" t="n">
        <x:f>MAX(0,MIN($E38,J$7+4)-MAX($D38,J$7)+1)</x:f>
        <x:v>0</x:v>
      </x:c>
      <x:c r="K38" s="37" t="n">
        <x:f>MAX(0,MIN($E38,K$7+4)-MAX($D38,K$7)+1)</x:f>
        <x:v>0</x:v>
      </x:c>
      <x:c r="L38" s="37" t="n">
        <x:f>MAX(0,MIN($E38,L$7+4)-MAX($D38,L$7)+1)</x:f>
        <x:v>0</x:v>
      </x:c>
      <x:c r="M38" s="37" t="n">
        <x:f>MAX(0,MIN($E38,M$7+4)-MAX($D38,M$7)+1)</x:f>
        <x:v>0</x:v>
      </x:c>
      <x:c r="N38" s="37" t="n">
        <x:f>MAX(0,MIN($E38,N$7+4)-MAX($D38,N$7)+1)</x:f>
        <x:v>1</x:v>
      </x:c>
      <x:c r="O38" s="37" t="n">
        <x:f>MAX(0,MIN($E38,O$7+4)-MAX($D38,O$7)+1)</x:f>
        <x:v>0</x:v>
      </x:c>
      <x:c r="P38" s="37" t="n">
        <x:f>MAX(0,MIN($E38,P$7+4)-MAX($D38,P$7)+1)</x:f>
        <x:v>0</x:v>
      </x:c>
      <x:c r="Q38" s="37" t="n">
        <x:f>MAX(0,MIN($E38,Q$7+4)-MAX($D38,Q$7)+1)</x:f>
        <x:v>0</x:v>
      </x:c>
      <x:c r="R38" s="37" t="n">
        <x:f>MAX(0,MIN($E38,R$7+4)-MAX($D38,R$7)+1)</x:f>
        <x:v>0</x:v>
      </x:c>
      <x:c r="S38" s="37" t="n">
        <x:f>MAX(0,MIN($E38,S$7+4)-MAX($D38,S$7)+1)</x:f>
        <x:v>0</x:v>
      </x:c>
      <x:c r="T38" s="37" t="n">
        <x:f>MAX(0,MIN($E38,T$7+4)-MAX($D38,T$7)+1)</x:f>
        <x:v>0</x:v>
      </x:c>
      <x:c r="U38" s="37" t="n">
        <x:f>MAX(0,MIN($E38,U$7+4)-MAX($D38,U$7)+1)</x:f>
        <x:v>0</x:v>
      </x:c>
      <x:c r="V38" s="37" t="n">
        <x:f>MAX(0,MIN($E38,V$7+4)-MAX($D38,V$7)+1)</x:f>
        <x:v>0</x:v>
      </x:c>
    </x:row>
    <x:row r="39" ht="24" customHeight="1">
      <x:c r="A39" s="6" t="n">
        <x:v>32</x:v>
      </x:c>
      <x:c r="B39" s="6" t="str">
        <x:v>105동</x:v>
      </x:c>
      <x:c r="C39" s="6" t="str">
        <x:v>계획 여유</x:v>
      </x:c>
      <x:c r="D39" s="42" t="n">
        <x:f>'산출기준'!B10+'산출기준'!C42-1</x:f>
        <x:v>31</x:v>
      </x:c>
      <x:c r="E39" s="42" t="n">
        <x:f>'산출기준'!B10+'산출기준'!D42-1</x:f>
        <x:v>35</x:v>
      </x:c>
      <x:c r="F39" s="42" t="n">
        <x:f>E39-D39+1</x:f>
        <x:v>5</x:v>
      </x:c>
      <x:c r="G39" s="6" t="str"/>
      <x:c r="H39" s="6" t="str">
        <x:f>IF(AND(D39&gt;='산출기준'!B10,E39&lt;='산출기준'!C10),"범위 내","구간 초과")</x:f>
        <x:v>범위 내</x:v>
      </x:c>
      <x:c r="I39" s="37" t="n">
        <x:f>MAX(0,MIN($E39,I$7+4)-MAX($D39,I$7)+1)</x:f>
        <x:v>0</x:v>
      </x:c>
      <x:c r="J39" s="37" t="n">
        <x:f>MAX(0,MIN($E39,J$7+4)-MAX($D39,J$7)+1)</x:f>
        <x:v>0</x:v>
      </x:c>
      <x:c r="K39" s="37" t="n">
        <x:f>MAX(0,MIN($E39,K$7+4)-MAX($D39,K$7)+1)</x:f>
        <x:v>0</x:v>
      </x:c>
      <x:c r="L39" s="37" t="n">
        <x:f>MAX(0,MIN($E39,L$7+4)-MAX($D39,L$7)+1)</x:f>
        <x:v>0</x:v>
      </x:c>
      <x:c r="M39" s="37" t="n">
        <x:f>MAX(0,MIN($E39,M$7+4)-MAX($D39,M$7)+1)</x:f>
        <x:v>0</x:v>
      </x:c>
      <x:c r="N39" s="37" t="n">
        <x:f>MAX(0,MIN($E39,N$7+4)-MAX($D39,N$7)+1)</x:f>
        <x:v>0</x:v>
      </x:c>
      <x:c r="O39" s="37" t="n">
        <x:f>MAX(0,MIN($E39,O$7+4)-MAX($D39,O$7)+1)</x:f>
        <x:v>5</x:v>
      </x:c>
      <x:c r="P39" s="37" t="n">
        <x:f>MAX(0,MIN($E39,P$7+4)-MAX($D39,P$7)+1)</x:f>
        <x:v>0</x:v>
      </x:c>
      <x:c r="Q39" s="37" t="n">
        <x:f>MAX(0,MIN($E39,Q$7+4)-MAX($D39,Q$7)+1)</x:f>
        <x:v>0</x:v>
      </x:c>
      <x:c r="R39" s="37" t="n">
        <x:f>MAX(0,MIN($E39,R$7+4)-MAX($D39,R$7)+1)</x:f>
        <x:v>0</x:v>
      </x:c>
      <x:c r="S39" s="37" t="n">
        <x:f>MAX(0,MIN($E39,S$7+4)-MAX($D39,S$7)+1)</x:f>
        <x:v>0</x:v>
      </x:c>
      <x:c r="T39" s="37" t="n">
        <x:f>MAX(0,MIN($E39,T$7+4)-MAX($D39,T$7)+1)</x:f>
        <x:v>0</x:v>
      </x:c>
      <x:c r="U39" s="37" t="n">
        <x:f>MAX(0,MIN($E39,U$7+4)-MAX($D39,U$7)+1)</x:f>
        <x:v>0</x:v>
      </x:c>
      <x:c r="V39" s="37" t="n">
        <x:f>MAX(0,MIN($E39,V$7+4)-MAX($D39,V$7)+1)</x:f>
        <x:v>0</x:v>
      </x:c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</x:sheetData>
  <x:conditionalFormatting sqref="I8:V8">
    <x:cfRule type="cellIs" dxfId="0" priority="1" operator="greaterThan">
      <x:formula>0</x:formula>
    </x:cfRule>
  </x:conditionalFormatting>
  <x:conditionalFormatting sqref="I9:V9">
    <x:cfRule type="cellIs" dxfId="1" priority="2" operator="greaterThan">
      <x:formula>0</x:formula>
    </x:cfRule>
  </x:conditionalFormatting>
  <x:conditionalFormatting sqref="I10:V10">
    <x:cfRule type="cellIs" dxfId="2" priority="3" operator="greaterThan">
      <x:formula>0</x:formula>
    </x:cfRule>
  </x:conditionalFormatting>
  <x:conditionalFormatting sqref="I11:V11">
    <x:cfRule type="cellIs" dxfId="3" priority="4" operator="greaterThan">
      <x:formula>0</x:formula>
    </x:cfRule>
  </x:conditionalFormatting>
  <x:conditionalFormatting sqref="I12:V12">
    <x:cfRule type="cellIs" dxfId="4" priority="5" operator="greaterThan">
      <x:formula>0</x:formula>
    </x:cfRule>
  </x:conditionalFormatting>
  <x:conditionalFormatting sqref="I13:V13">
    <x:cfRule type="cellIs" dxfId="5" priority="6" operator="greaterThan">
      <x:formula>0</x:formula>
    </x:cfRule>
  </x:conditionalFormatting>
  <x:conditionalFormatting sqref="I14:V14">
    <x:cfRule type="cellIs" dxfId="6" priority="7" operator="greaterThan">
      <x:formula>0</x:formula>
    </x:cfRule>
  </x:conditionalFormatting>
  <x:conditionalFormatting sqref="I15:V15">
    <x:cfRule type="cellIs" dxfId="7" priority="8" operator="greaterThan">
      <x:formula>0</x:formula>
    </x:cfRule>
  </x:conditionalFormatting>
  <x:conditionalFormatting sqref="I16:V16">
    <x:cfRule type="cellIs" dxfId="8" priority="9" operator="greaterThan">
      <x:formula>0</x:formula>
    </x:cfRule>
  </x:conditionalFormatting>
  <x:conditionalFormatting sqref="I17:V17">
    <x:cfRule type="cellIs" dxfId="9" priority="10" operator="greaterThan">
      <x:formula>0</x:formula>
    </x:cfRule>
  </x:conditionalFormatting>
  <x:conditionalFormatting sqref="I18:V18">
    <x:cfRule type="cellIs" dxfId="10" priority="11" operator="greaterThan">
      <x:formula>0</x:formula>
    </x:cfRule>
  </x:conditionalFormatting>
  <x:conditionalFormatting sqref="I19:V19">
    <x:cfRule type="cellIs" dxfId="11" priority="12" operator="greaterThan">
      <x:formula>0</x:formula>
    </x:cfRule>
  </x:conditionalFormatting>
  <x:conditionalFormatting sqref="I20:V20">
    <x:cfRule type="cellIs" dxfId="12" priority="13" operator="greaterThan">
      <x:formula>0</x:formula>
    </x:cfRule>
  </x:conditionalFormatting>
  <x:conditionalFormatting sqref="I21:V21">
    <x:cfRule type="cellIs" dxfId="13" priority="14" operator="greaterThan">
      <x:formula>0</x:formula>
    </x:cfRule>
  </x:conditionalFormatting>
  <x:conditionalFormatting sqref="I22:V22">
    <x:cfRule type="cellIs" dxfId="14" priority="15" operator="greaterThan">
      <x:formula>0</x:formula>
    </x:cfRule>
  </x:conditionalFormatting>
  <x:conditionalFormatting sqref="I23:V23">
    <x:cfRule type="cellIs" dxfId="15" priority="16" operator="greaterThan">
      <x:formula>0</x:formula>
    </x:cfRule>
  </x:conditionalFormatting>
  <x:conditionalFormatting sqref="I24:V24">
    <x:cfRule type="cellIs" dxfId="16" priority="17" operator="greaterThan">
      <x:formula>0</x:formula>
    </x:cfRule>
  </x:conditionalFormatting>
  <x:conditionalFormatting sqref="I25:V25">
    <x:cfRule type="cellIs" dxfId="17" priority="18" operator="greaterThan">
      <x:formula>0</x:formula>
    </x:cfRule>
  </x:conditionalFormatting>
  <x:conditionalFormatting sqref="I26:V26">
    <x:cfRule type="cellIs" dxfId="18" priority="19" operator="greaterThan">
      <x:formula>0</x:formula>
    </x:cfRule>
  </x:conditionalFormatting>
  <x:conditionalFormatting sqref="I27:V27">
    <x:cfRule type="cellIs" dxfId="19" priority="20" operator="greaterThan">
      <x:formula>0</x:formula>
    </x:cfRule>
  </x:conditionalFormatting>
  <x:conditionalFormatting sqref="I28:V28">
    <x:cfRule type="cellIs" dxfId="20" priority="21" operator="greaterThan">
      <x:formula>0</x:formula>
    </x:cfRule>
  </x:conditionalFormatting>
  <x:conditionalFormatting sqref="I29:V29">
    <x:cfRule type="cellIs" dxfId="21" priority="22" operator="greaterThan">
      <x:formula>0</x:formula>
    </x:cfRule>
  </x:conditionalFormatting>
  <x:conditionalFormatting sqref="I30:V30">
    <x:cfRule type="cellIs" dxfId="22" priority="23" operator="greaterThan">
      <x:formula>0</x:formula>
    </x:cfRule>
  </x:conditionalFormatting>
  <x:conditionalFormatting sqref="I31:V31">
    <x:cfRule type="cellIs" dxfId="23" priority="24" operator="greaterThan">
      <x:formula>0</x:formula>
    </x:cfRule>
  </x:conditionalFormatting>
  <x:conditionalFormatting sqref="I32:V32">
    <x:cfRule type="cellIs" dxfId="24" priority="25" operator="greaterThan">
      <x:formula>0</x:formula>
    </x:cfRule>
  </x:conditionalFormatting>
  <x:conditionalFormatting sqref="I33:V33">
    <x:cfRule type="cellIs" dxfId="25" priority="26" operator="greaterThan">
      <x:formula>0</x:formula>
    </x:cfRule>
  </x:conditionalFormatting>
  <x:conditionalFormatting sqref="I34:V34">
    <x:cfRule type="cellIs" dxfId="26" priority="27" operator="greaterThan">
      <x:formula>0</x:formula>
    </x:cfRule>
  </x:conditionalFormatting>
  <x:conditionalFormatting sqref="I35:V35">
    <x:cfRule type="cellIs" dxfId="27" priority="28" operator="greaterThan">
      <x:formula>0</x:formula>
    </x:cfRule>
  </x:conditionalFormatting>
  <x:conditionalFormatting sqref="I36:V36">
    <x:cfRule type="cellIs" dxfId="28" priority="29" operator="greaterThan">
      <x:formula>0</x:formula>
    </x:cfRule>
  </x:conditionalFormatting>
  <x:conditionalFormatting sqref="I37:V37">
    <x:cfRule type="cellIs" dxfId="29" priority="30" operator="greaterThan">
      <x:formula>0</x:formula>
    </x:cfRule>
  </x:conditionalFormatting>
  <x:conditionalFormatting sqref="I38:V38">
    <x:cfRule type="cellIs" dxfId="30" priority="31" operator="greaterThan">
      <x:formula>0</x:formula>
    </x:cfRule>
  </x:conditionalFormatting>
  <x:conditionalFormatting sqref="I39:V39">
    <x:cfRule type="cellIs" dxfId="31" priority="32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F49"/>
  </x:sheetPr>
  <x:sheetViews>
    <x:sheetView showGridLines="0" workbookViewId="0">
      <x:pane xSplit="3" ySplit="11" topLeftCell="D12" activePane="bottomRight" state="frozen"/>
    </x:sheetView>
  </x:sheetViews>
  <x:sheetFormatPr defaultRowHeight="15"/>
  <x:cols>
    <x:col min="1" max="1" width="11.25" hidden="0" customWidth="1"/>
    <x:col min="2" max="2" width="8.75" hidden="0" customWidth="1"/>
    <x:col min="3" max="3" width="13.75" hidden="0" customWidth="1"/>
    <x:col min="4" max="4" width="24.3799991607666" hidden="0" customWidth="1"/>
    <x:col min="5" max="5" width="23.75" hidden="0" customWidth="1"/>
    <x:col min="6" max="6" width="8.75" hidden="0" customWidth="1"/>
    <x:col min="7" max="7" width="8.130000114440918" hidden="0" customWidth="1"/>
    <x:col min="8" max="8" width="8.130000114440918" hidden="0" customWidth="1"/>
    <x:col min="9" max="9" width="11" hidden="0" customWidth="1"/>
    <x:col min="10" max="10" width="11" hidden="0" customWidth="1"/>
    <x:col min="11" max="11" width="11.25" hidden="0" customWidth="1"/>
    <x:col min="12" max="12" width="9.380000114440918" hidden="0" customWidth="1"/>
    <x:col min="13" max="13" width="10" hidden="0" customWidth="1"/>
    <x:col min="14" max="14" width="10.380000114440918" hidden="0" customWidth="1"/>
    <x:col min="15" max="15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1층 골조 자재 반입 계획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5" t="str">
        <x:v>반입 시점은 계획 초안. 수량은 산출기준의 1층 면적 또는 직접 수요량 입력 후 계산됩니다.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16" t="str">
        <x:v>자재</x:v>
      </x:c>
      <x:c r="B5" s="17" t="str">
        <x:v>총수요</x:v>
      </x:c>
      <x:c r="C5" s="17" t="str">
        <x:v>웹 입력 재고</x:v>
      </x:c>
      <x:c r="D5" s="17" t="str">
        <x:v>신규 반입</x:v>
      </x:c>
      <x:c r="E5" s="18" t="str">
        <x:v>단위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2" t="str">
        <x:v>철근</x:v>
      </x:c>
      <x:c r="B6" s="32" t="str">
        <x:f>IF(COUNT(I12,I14,I18,I20,I23,I26,I27,I31)&lt;8,"미입력",SUM(I12,I14,I18,I20,I23,I26,I27,I31))</x:f>
        <x:v>미입력</x:v>
      </x:c>
      <x:c r="C6" s="32" t="n">
        <x:f>'산출기준'!B56</x:f>
        <x:v>40</x:v>
      </x:c>
      <x:c r="D6" s="32" t="str">
        <x:f>IF(ISNUMBER(B6),SUM(K12,K14,K18,K20,K23,K26,K27,K31),"미입력")</x:f>
        <x:v>미입력</x:v>
      </x:c>
      <x:c r="E6" s="2" t="str">
        <x:v>묶음</x:v>
      </x:c>
      <x:c r="F6" s="2"/>
      <x:c r="G6" s="2" t="str">
        <x:v>반입 WD는 수요 확인 전에도 보여 주는 예정 시점입니다.</x:v>
      </x:c>
      <x:c r="H6" s="2"/>
      <x:c r="I6" s="2"/>
      <x:c r="J6" s="2"/>
      <x:c r="K6" s="2"/>
      <x:c r="L6" s="2"/>
      <x:c r="M6" s="2"/>
      <x:c r="N6" s="2"/>
      <x:c r="O6" s="2"/>
    </x:row>
    <x:row r="7" ht="24" customHeight="1">
      <x:c r="A7" s="2" t="str">
        <x:v>거푸집</x:v>
      </x:c>
      <x:c r="B7" s="32" t="str">
        <x:f>IF(COUNT(I13,I15,I17,I21,I22,I25,I28,I30)&lt;8,"미입력",SUM(I13,I15,I17,I21,I22,I25,I28,I30))</x:f>
        <x:v>미입력</x:v>
      </x:c>
      <x:c r="C7" s="32" t="n">
        <x:f>'산출기준'!B57</x:f>
        <x:v>2500</x:v>
      </x:c>
      <x:c r="D7" s="32" t="str">
        <x:f>IF(ISNUMBER(B7),SUM(K13,K15,K17,K21,K22,K25,K28,K30),"미입력")</x:f>
        <x:v>미입력</x:v>
      </x:c>
      <x:c r="E7" s="2" t="str">
        <x:v>장</x:v>
      </x:c>
      <x:c r="F7" s="2"/>
      <x:c r="G7" s="2" t="str">
        <x:v>분할 차수는 관리 단위이며 차량 대수나 운송중량이 아닙니다.</x:v>
      </x:c>
      <x:c r="H7" s="2"/>
      <x:c r="I7" s="2"/>
      <x:c r="J7" s="2"/>
      <x:c r="K7" s="2"/>
      <x:c r="L7" s="2"/>
      <x:c r="M7" s="2"/>
      <x:c r="N7" s="2"/>
      <x:c r="O7" s="2"/>
    </x:row>
    <x:row r="8" ht="24" customHeight="1">
      <x:c r="A8" s="2" t="str">
        <x:v>시스템동바리</x:v>
      </x:c>
      <x:c r="B8" s="32" t="str">
        <x:f>IF(COUNT(I16,I19,I24,I29)&lt;4,"미입력",SUM(I16,I19,I24,I29))</x:f>
        <x:v>미입력</x:v>
      </x:c>
      <x:c r="C8" s="32" t="n">
        <x:f>'산출기준'!B58</x:f>
        <x:v>800</x:v>
      </x:c>
      <x:c r="D8" s="32" t="str">
        <x:f>IF(ISNUMBER(B8),SUM(K16,K19,K24,K29),"미입력")</x:f>
        <x:v>미입력</x:v>
      </x:c>
      <x:c r="E8" s="2" t="str">
        <x:v>개</x:v>
      </x:c>
      <x:c r="F8" s="2"/>
      <x:c r="G8" s="2" t="str">
        <x:v>동바리 수량은 지지점 환산입니다. 기존 800개는 규격 확인 전 차감하지 않습니다.</x:v>
      </x:c>
      <x:c r="H8" s="2"/>
      <x:c r="I8" s="2"/>
      <x:c r="J8" s="2"/>
      <x:c r="K8" s="2"/>
      <x:c r="L8" s="2"/>
      <x:c r="M8" s="2"/>
      <x:c r="N8" s="2"/>
      <x:c r="O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34" customHeight="1">
      <x:c r="A11" s="16" t="str">
        <x:v>번호</x:v>
      </x:c>
      <x:c r="B11" s="17" t="str">
        <x:v>동</x:v>
      </x:c>
      <x:c r="C11" s="17" t="str">
        <x:v>자재</x:v>
      </x:c>
      <x:c r="D11" s="17" t="str">
        <x:v>사용 공정</x:v>
      </x:c>
      <x:c r="E11" s="17" t="str">
        <x:v>계획 규격</x:v>
      </x:c>
      <x:c r="F11" s="17" t="str">
        <x:v>단위</x:v>
      </x:c>
      <x:c r="G11" s="17" t="str">
        <x:v>사용 착수 WD</x:v>
      </x:c>
      <x:c r="H11" s="17" t="str">
        <x:v>사용 완료 WD</x:v>
      </x:c>
      <x:c r="I11" s="17" t="str">
        <x:v>총수요</x:v>
      </x:c>
      <x:c r="J11" s="17" t="str">
        <x:v>재고 배정</x:v>
      </x:c>
      <x:c r="K11" s="17" t="str">
        <x:v>신규 반입</x:v>
      </x:c>
      <x:c r="L11" s="17" t="str">
        <x:v>반입 WD</x:v>
      </x:c>
      <x:c r="M11" s="17" t="str">
        <x:v>분할 차수</x:v>
      </x:c>
      <x:c r="N11" s="17" t="str">
        <x:v>회수 예정</x:v>
      </x:c>
      <x:c r="O11" s="18" t="str">
        <x:v>물량 구분</x:v>
      </x:c>
    </x:row>
    <x:row r="12" ht="24" customHeight="1">
      <x:c r="A12" s="2" t="n">
        <x:v>1</x:v>
      </x:c>
      <x:c r="B12" s="2" t="str">
        <x:v>104동</x:v>
      </x:c>
      <x:c r="C12" s="2" t="str">
        <x:v>철근</x:v>
      </x:c>
      <x:c r="D12" s="2" t="str">
        <x:v>벽체·기둥 철근배근</x:v>
      </x:c>
      <x:c r="E12" s="2" t="str">
        <x:v>규격별 배분 미정</x:v>
      </x:c>
      <x:c r="F12" s="2" t="str">
        <x:v>묶음</x:v>
      </x:c>
      <x:c r="G12" s="2" t="n">
        <x:f>'골조공정표'!D25</x:f>
        <x:v>3</x:v>
      </x:c>
      <x:c r="H12" s="2" t="n">
        <x:f>'골조공정표'!E25</x:f>
        <x:v>7</x:v>
      </x:c>
      <x:c r="I12" s="32" t="str">
        <x:f>IF(ISNUMBER('산출기준'!D49),ROUNDUP('산출기준'!D49*'산출기준'!$B$27,0),"")</x:f>
      </x:c>
      <x:c r="J12" s="32" t="str">
        <x:f>IF(ISNUMBER(I12),MIN(I12,MAX(0,'산출기준'!$C$56-SUMIFS($J$11:J11,$C$11:C11,C12))),"")</x:f>
      </x:c>
      <x:c r="K12" s="32" t="str">
        <x:f>IF(ISNUMBER(I12),I12-J12,"")</x:f>
      </x:c>
      <x:c r="L12" s="32" t="n">
        <x:f>MAX(0,G12-'산출기준'!$B$23)</x:f>
        <x:v>2</x:v>
      </x:c>
      <x:c r="M12" s="32" t="str">
        <x:f>IF(ISNUMBER(K12),ROUNDUP(K12/'산출기준'!$B$24,0),"")</x:f>
      </x:c>
      <x:c r="N12" s="2" t="str">
        <x:v>미정</x:v>
      </x:c>
      <x:c r="O12" s="2" t="str">
        <x:f>IF(ISNUMBER(I12),'산출기준'!H49,"수요 입력 대기")</x:f>
        <x:v>수요 입력 대기</x:v>
      </x:c>
    </x:row>
    <x:row r="13" ht="24" customHeight="1">
      <x:c r="A13" s="2" t="n">
        <x:v>2</x:v>
      </x:c>
      <x:c r="B13" s="2" t="str">
        <x:v>104동</x:v>
      </x:c>
      <x:c r="C13" s="2" t="str">
        <x:v>거푸집</x:v>
      </x:c>
      <x:c r="D13" s="2" t="str">
        <x:v>수직부 거푸집 설치</x:v>
      </x:c>
      <x:c r="E13" s="2" t="str">
        <x:v>유로폼 500 × 1200</x:v>
      </x:c>
      <x:c r="F13" s="2" t="str">
        <x:v>장</x:v>
      </x:c>
      <x:c r="G13" s="2" t="n">
        <x:f>'골조공정표'!D26</x:f>
        <x:v>8</x:v>
      </x:c>
      <x:c r="H13" s="2" t="n">
        <x:f>'골조공정표'!E26</x:f>
        <x:v>14</x:v>
      </x:c>
      <x:c r="I13" s="32" t="str">
        <x:f>IF(ISNUMBER('산출기준'!F49),ROUNDUP('산출기준'!F49*'산출기준'!$B$28,0),"")</x:f>
      </x:c>
      <x:c r="J13" s="32" t="str">
        <x:f>IF(ISNUMBER(I13),MIN(I13,MAX(0,'산출기준'!$C$57-SUMIFS($J$11:J12,$C$11:C12,C13))),"")</x:f>
      </x:c>
      <x:c r="K13" s="32" t="str">
        <x:f>IF(ISNUMBER(I13),I13-J13,"")</x:f>
      </x:c>
      <x:c r="L13" s="32" t="n">
        <x:f>MAX(0,G13-'산출기준'!$B$23)</x:f>
        <x:v>7</x:v>
      </x:c>
      <x:c r="M13" s="32" t="str">
        <x:f>IF(ISNUMBER(K13),ROUNDUP(K13/'산출기준'!$B$25,0),"")</x:f>
      </x:c>
      <x:c r="N13" s="2" t="str">
        <x:v>미정</x:v>
      </x:c>
      <x:c r="O13" s="2" t="str">
        <x:f>IF(ISNUMBER(I13),'산출기준'!H49,"수요 입력 대기")</x:f>
        <x:v>수요 입력 대기</x:v>
      </x:c>
    </x:row>
    <x:row r="14" ht="24" customHeight="1">
      <x:c r="A14" s="2" t="n">
        <x:v>3</x:v>
      </x:c>
      <x:c r="B14" s="2" t="str">
        <x:v>105동</x:v>
      </x:c>
      <x:c r="C14" s="2" t="str">
        <x:v>철근</x:v>
      </x:c>
      <x:c r="D14" s="2" t="str">
        <x:v>벽체·기둥 철근배근</x:v>
      </x:c>
      <x:c r="E14" s="2" t="str">
        <x:v>규격별 배분 미정</x:v>
      </x:c>
      <x:c r="F14" s="2" t="str">
        <x:v>묶음</x:v>
      </x:c>
      <x:c r="G14" s="2" t="n">
        <x:f>'골조공정표'!D33</x:f>
        <x:v>8</x:v>
      </x:c>
      <x:c r="H14" s="2" t="n">
        <x:f>'골조공정표'!E33</x:f>
        <x:v>12</x:v>
      </x:c>
      <x:c r="I14" s="32" t="str">
        <x:f>IF(ISNUMBER('산출기준'!D50),ROUNDUP('산출기준'!D50*'산출기준'!$B$27,0),"")</x:f>
      </x:c>
      <x:c r="J14" s="32" t="str">
        <x:f>IF(ISNUMBER(I14),MIN(I14,MAX(0,'산출기준'!$C$56-SUMIFS($J$11:J13,$C$11:C13,C14))),"")</x:f>
      </x:c>
      <x:c r="K14" s="32" t="str">
        <x:f>IF(ISNUMBER(I14),I14-J14,"")</x:f>
      </x:c>
      <x:c r="L14" s="32" t="n">
        <x:f>MAX(0,G14-'산출기준'!$B$23)</x:f>
        <x:v>7</x:v>
      </x:c>
      <x:c r="M14" s="32" t="str">
        <x:f>IF(ISNUMBER(K14),ROUNDUP(K14/'산출기준'!$B$24,0),"")</x:f>
      </x:c>
      <x:c r="N14" s="2" t="str">
        <x:v>미정</x:v>
      </x:c>
      <x:c r="O14" s="2" t="str">
        <x:f>IF(ISNUMBER(I14),'산출기준'!H50,"수요 입력 대기")</x:f>
        <x:v>수요 입력 대기</x:v>
      </x:c>
    </x:row>
    <x:row r="15" ht="24" customHeight="1">
      <x:c r="A15" s="2" t="n">
        <x:v>4</x:v>
      </x:c>
      <x:c r="B15" s="2" t="str">
        <x:v>105동</x:v>
      </x:c>
      <x:c r="C15" s="2" t="str">
        <x:v>거푸집</x:v>
      </x:c>
      <x:c r="D15" s="2" t="str">
        <x:v>수직부 거푸집 설치</x:v>
      </x:c>
      <x:c r="E15" s="2" t="str">
        <x:v>유로폼 500 × 1200</x:v>
      </x:c>
      <x:c r="F15" s="2" t="str">
        <x:v>장</x:v>
      </x:c>
      <x:c r="G15" s="2" t="n">
        <x:f>'골조공정표'!D34</x:f>
        <x:v>13</x:v>
      </x:c>
      <x:c r="H15" s="2" t="n">
        <x:f>'골조공정표'!E34</x:f>
        <x:v>19</x:v>
      </x:c>
      <x:c r="I15" s="32" t="str">
        <x:f>IF(ISNUMBER('산출기준'!F50),ROUNDUP('산출기준'!F50*'산출기준'!$B$28,0),"")</x:f>
      </x:c>
      <x:c r="J15" s="32" t="str">
        <x:f>IF(ISNUMBER(I15),MIN(I15,MAX(0,'산출기준'!$C$57-SUMIFS($J$11:J14,$C$11:C14,C15))),"")</x:f>
      </x:c>
      <x:c r="K15" s="32" t="str">
        <x:f>IF(ISNUMBER(I15),I15-J15,"")</x:f>
      </x:c>
      <x:c r="L15" s="32" t="n">
        <x:f>MAX(0,G15-'산출기준'!$B$23)</x:f>
        <x:v>12</x:v>
      </x:c>
      <x:c r="M15" s="32" t="str">
        <x:f>IF(ISNUMBER(K15),ROUNDUP(K15/'산출기준'!$B$25,0),"")</x:f>
      </x:c>
      <x:c r="N15" s="2" t="str">
        <x:v>미정</x:v>
      </x:c>
      <x:c r="O15" s="2" t="str">
        <x:f>IF(ISNUMBER(I15),'산출기준'!H50,"수요 입력 대기")</x:f>
        <x:v>수요 입력 대기</x:v>
      </x:c>
    </x:row>
    <x:row r="16" ht="24" customHeight="1">
      <x:c r="A16" s="2" t="n">
        <x:v>5</x:v>
      </x:c>
      <x:c r="B16" s="2" t="str">
        <x:v>104동</x:v>
      </x:c>
      <x:c r="C16" s="2" t="str">
        <x:v>시스템동바리</x:v>
      </x:c>
      <x:c r="D16" s="2" t="str">
        <x:v>시스템동바리 조립</x:v>
      </x:c>
      <x:c r="E16" s="2" t="str">
        <x:v>층고 5.20m용 (계획)</x:v>
      </x:c>
      <x:c r="F16" s="2" t="str">
        <x:v>개</x:v>
      </x:c>
      <x:c r="G16" s="2" t="n">
        <x:f>'골조공정표'!D27</x:f>
        <x:v>15</x:v>
      </x:c>
      <x:c r="H16" s="2" t="n">
        <x:f>'골조공정표'!E27</x:f>
        <x:v>17</x:v>
      </x:c>
      <x:c r="I16" s="32" t="str">
        <x:f>IF(ISNUMBER('산출기준'!G49),'산출기준'!G49,"")</x:f>
      </x:c>
      <x:c r="J16" s="32" t="str">
        <x:f>IF(ISNUMBER(I16),MIN(I16,MAX(0,'산출기준'!$C$58-SUMIFS($J$11:J15,$C$11:C15,C16))),"")</x:f>
      </x:c>
      <x:c r="K16" s="32" t="str">
        <x:f>IF(ISNUMBER(I16),I16-J16,"")</x:f>
      </x:c>
      <x:c r="L16" s="32" t="n">
        <x:f>MAX(0,G16-'산출기준'!$B$23)</x:f>
        <x:v>14</x:v>
      </x:c>
      <x:c r="M16" s="32" t="str">
        <x:f>IF(ISNUMBER(K16),ROUNDUP(K16/'산출기준'!$B$26,0),"")</x:f>
      </x:c>
      <x:c r="N16" s="2" t="str">
        <x:v>미정</x:v>
      </x:c>
      <x:c r="O16" s="2" t="str">
        <x:f>IF(ISNUMBER(I16),'산출기준'!H49,"수요 입력 대기")</x:f>
        <x:v>수요 입력 대기</x:v>
      </x:c>
    </x:row>
    <x:row r="17" ht="24" customHeight="1">
      <x:c r="A17" s="2" t="n">
        <x:v>6</x:v>
      </x:c>
      <x:c r="B17" s="2" t="str">
        <x:v>104동</x:v>
      </x:c>
      <x:c r="C17" s="2" t="str">
        <x:v>거푸집</x:v>
      </x:c>
      <x:c r="D17" s="2" t="str">
        <x:v>보·슬래브 거푸집</x:v>
      </x:c>
      <x:c r="E17" s="2" t="str">
        <x:v>유로폼 500 × 1200</x:v>
      </x:c>
      <x:c r="F17" s="2" t="str">
        <x:v>장</x:v>
      </x:c>
      <x:c r="G17" s="2" t="n">
        <x:f>'골조공정표'!D28</x:f>
        <x:v>18</x:v>
      </x:c>
      <x:c r="H17" s="2" t="n">
        <x:f>'골조공정표'!E28</x:f>
        <x:v>21</x:v>
      </x:c>
      <x:c r="I17" s="32" t="str">
        <x:f>IF(ISNUMBER('산출기준'!F49),'산출기준'!F49-ROUNDUP('산출기준'!F49*'산출기준'!$B$28,0),"")</x:f>
      </x:c>
      <x:c r="J17" s="32" t="str">
        <x:f>IF(ISNUMBER(I17),MIN(I17,MAX(0,'산출기준'!$C$57-SUMIFS($J$11:J16,$C$11:C16,C17))),"")</x:f>
      </x:c>
      <x:c r="K17" s="32" t="str">
        <x:f>IF(ISNUMBER(I17),I17-J17,"")</x:f>
      </x:c>
      <x:c r="L17" s="32" t="n">
        <x:f>MAX(0,G17-'산출기준'!$B$23)</x:f>
        <x:v>17</x:v>
      </x:c>
      <x:c r="M17" s="32" t="str">
        <x:f>IF(ISNUMBER(K17),ROUNDUP(K17/'산출기준'!$B$25,0),"")</x:f>
      </x:c>
      <x:c r="N17" s="2" t="str">
        <x:v>미정</x:v>
      </x:c>
      <x:c r="O17" s="2" t="str">
        <x:f>IF(ISNUMBER(I17),'산출기준'!H49,"수요 입력 대기")</x:f>
        <x:v>수요 입력 대기</x:v>
      </x:c>
    </x:row>
    <x:row r="18" ht="24" customHeight="1">
      <x:c r="A18" s="2" t="n">
        <x:v>7</x:v>
      </x:c>
      <x:c r="B18" s="2" t="str">
        <x:v>112동</x:v>
      </x:c>
      <x:c r="C18" s="2" t="str">
        <x:v>철근</x:v>
      </x:c>
      <x:c r="D18" s="2" t="str">
        <x:v>벽체·기둥 철근배근</x:v>
      </x:c>
      <x:c r="E18" s="2" t="str">
        <x:v>규격별 배분 미정</x:v>
      </x:c>
      <x:c r="F18" s="2" t="str">
        <x:v>묶음</x:v>
      </x:c>
      <x:c r="G18" s="2" t="n">
        <x:f>'골조공정표'!D17</x:f>
        <x:v>18</x:v>
      </x:c>
      <x:c r="H18" s="2" t="n">
        <x:f>'골조공정표'!E17</x:f>
        <x:v>22</x:v>
      </x:c>
      <x:c r="I18" s="32" t="str">
        <x:f>IF(ISNUMBER('산출기준'!D48),ROUNDUP('산출기준'!D48*'산출기준'!$B$27,0),"")</x:f>
      </x:c>
      <x:c r="J18" s="32" t="str">
        <x:f>IF(ISNUMBER(I18),MIN(I18,MAX(0,'산출기준'!$C$56-SUMIFS($J$11:J17,$C$11:C17,C18))),"")</x:f>
      </x:c>
      <x:c r="K18" s="32" t="str">
        <x:f>IF(ISNUMBER(I18),I18-J18,"")</x:f>
      </x:c>
      <x:c r="L18" s="32" t="n">
        <x:f>MAX(0,G18-'산출기준'!$B$23)</x:f>
        <x:v>17</x:v>
      </x:c>
      <x:c r="M18" s="32" t="str">
        <x:f>IF(ISNUMBER(K18),ROUNDUP(K18/'산출기준'!$B$24,0),"")</x:f>
      </x:c>
      <x:c r="N18" s="2" t="str">
        <x:v>미정</x:v>
      </x:c>
      <x:c r="O18" s="2" t="str">
        <x:f>IF(ISNUMBER(I18),'산출기준'!H48,"수요 입력 대기")</x:f>
        <x:v>수요 입력 대기</x:v>
      </x:c>
    </x:row>
    <x:row r="19" ht="24" customHeight="1">
      <x:c r="A19" s="2" t="n">
        <x:v>8</x:v>
      </x:c>
      <x:c r="B19" s="2" t="str">
        <x:v>105동</x:v>
      </x:c>
      <x:c r="C19" s="2" t="str">
        <x:v>시스템동바리</x:v>
      </x:c>
      <x:c r="D19" s="2" t="str">
        <x:v>시스템동바리 조립</x:v>
      </x:c>
      <x:c r="E19" s="2" t="str">
        <x:v>층고 5.20m용 (계획)</x:v>
      </x:c>
      <x:c r="F19" s="2" t="str">
        <x:v>개</x:v>
      </x:c>
      <x:c r="G19" s="2" t="n">
        <x:f>'골조공정표'!D35</x:f>
        <x:v>20</x:v>
      </x:c>
      <x:c r="H19" s="2" t="n">
        <x:f>'골조공정표'!E35</x:f>
        <x:v>22</x:v>
      </x:c>
      <x:c r="I19" s="32" t="str">
        <x:f>IF(ISNUMBER('산출기준'!G50),'산출기준'!G50,"")</x:f>
      </x:c>
      <x:c r="J19" s="32" t="str">
        <x:f>IF(ISNUMBER(I19),MIN(I19,MAX(0,'산출기준'!$C$58-SUMIFS($J$11:J18,$C$11:C18,C19))),"")</x:f>
      </x:c>
      <x:c r="K19" s="32" t="str">
        <x:f>IF(ISNUMBER(I19),I19-J19,"")</x:f>
      </x:c>
      <x:c r="L19" s="32" t="n">
        <x:f>MAX(0,G19-'산출기준'!$B$23)</x:f>
        <x:v>19</x:v>
      </x:c>
      <x:c r="M19" s="32" t="str">
        <x:f>IF(ISNUMBER(K19),ROUNDUP(K19/'산출기준'!$B$26,0),"")</x:f>
      </x:c>
      <x:c r="N19" s="2" t="str">
        <x:v>미정</x:v>
      </x:c>
      <x:c r="O19" s="2" t="str">
        <x:f>IF(ISNUMBER(I19),'산출기준'!H50,"수요 입력 대기")</x:f>
        <x:v>수요 입력 대기</x:v>
      </x:c>
    </x:row>
    <x:row r="20" ht="24" customHeight="1">
      <x:c r="A20" s="2" t="n">
        <x:v>9</x:v>
      </x:c>
      <x:c r="B20" s="2" t="str">
        <x:v>104동</x:v>
      </x:c>
      <x:c r="C20" s="2" t="str">
        <x:v>철근</x:v>
      </x:c>
      <x:c r="D20" s="2" t="str">
        <x:v>보·슬래브 철근배근</x:v>
      </x:c>
      <x:c r="E20" s="2" t="str">
        <x:v>규격별 배분 미정</x:v>
      </x:c>
      <x:c r="F20" s="2" t="str">
        <x:v>묶음</x:v>
      </x:c>
      <x:c r="G20" s="2" t="n">
        <x:f>'골조공정표'!D29</x:f>
        <x:v>22</x:v>
      </x:c>
      <x:c r="H20" s="2" t="n">
        <x:f>'골조공정표'!E29</x:f>
        <x:v>24</x:v>
      </x:c>
      <x:c r="I20" s="32" t="str">
        <x:f>IF(ISNUMBER('산출기준'!D49),'산출기준'!D49-ROUNDUP('산출기준'!D49*'산출기준'!$B$27,0),"")</x:f>
      </x:c>
      <x:c r="J20" s="32" t="str">
        <x:f>IF(ISNUMBER(I20),MIN(I20,MAX(0,'산출기준'!$C$56-SUMIFS($J$11:J19,$C$11:C19,C20))),"")</x:f>
      </x:c>
      <x:c r="K20" s="32" t="str">
        <x:f>IF(ISNUMBER(I20),I20-J20,"")</x:f>
      </x:c>
      <x:c r="L20" s="32" t="n">
        <x:f>MAX(0,G20-'산출기준'!$B$23)</x:f>
        <x:v>21</x:v>
      </x:c>
      <x:c r="M20" s="32" t="str">
        <x:f>IF(ISNUMBER(K20),ROUNDUP(K20/'산출기준'!$B$24,0),"")</x:f>
      </x:c>
      <x:c r="N20" s="2" t="str">
        <x:v>미정</x:v>
      </x:c>
      <x:c r="O20" s="2" t="str">
        <x:f>IF(ISNUMBER(I20),'산출기준'!H49,"수요 입력 대기")</x:f>
        <x:v>수요 입력 대기</x:v>
      </x:c>
    </x:row>
    <x:row r="21" ht="24" customHeight="1">
      <x:c r="A21" s="2" t="n">
        <x:v>10</x:v>
      </x:c>
      <x:c r="B21" s="2" t="str">
        <x:v>105동</x:v>
      </x:c>
      <x:c r="C21" s="2" t="str">
        <x:v>거푸집</x:v>
      </x:c>
      <x:c r="D21" s="2" t="str">
        <x:v>보·슬래브 거푸집</x:v>
      </x:c>
      <x:c r="E21" s="2" t="str">
        <x:v>유로폼 500 × 1200</x:v>
      </x:c>
      <x:c r="F21" s="2" t="str">
        <x:v>장</x:v>
      </x:c>
      <x:c r="G21" s="2" t="n">
        <x:f>'골조공정표'!D36</x:f>
        <x:v>23</x:v>
      </x:c>
      <x:c r="H21" s="2" t="n">
        <x:f>'골조공정표'!E36</x:f>
        <x:v>26</x:v>
      </x:c>
      <x:c r="I21" s="32" t="str">
        <x:f>IF(ISNUMBER('산출기준'!F50),'산출기준'!F50-ROUNDUP('산출기준'!F50*'산출기준'!$B$28,0),"")</x:f>
      </x:c>
      <x:c r="J21" s="32" t="str">
        <x:f>IF(ISNUMBER(I21),MIN(I21,MAX(0,'산출기준'!$C$57-SUMIFS($J$11:J20,$C$11:C20,C21))),"")</x:f>
      </x:c>
      <x:c r="K21" s="32" t="str">
        <x:f>IF(ISNUMBER(I21),I21-J21,"")</x:f>
      </x:c>
      <x:c r="L21" s="32" t="n">
        <x:f>MAX(0,G21-'산출기준'!$B$23)</x:f>
        <x:v>22</x:v>
      </x:c>
      <x:c r="M21" s="32" t="str">
        <x:f>IF(ISNUMBER(K21),ROUNDUP(K21/'산출기준'!$B$25,0),"")</x:f>
      </x:c>
      <x:c r="N21" s="2" t="str">
        <x:v>미정</x:v>
      </x:c>
      <x:c r="O21" s="2" t="str">
        <x:f>IF(ISNUMBER(I21),'산출기준'!H50,"수요 입력 대기")</x:f>
        <x:v>수요 입력 대기</x:v>
      </x:c>
    </x:row>
    <x:row r="22" ht="24" customHeight="1">
      <x:c r="A22" s="2" t="n">
        <x:v>11</x:v>
      </x:c>
      <x:c r="B22" s="2" t="str">
        <x:v>112동</x:v>
      </x:c>
      <x:c r="C22" s="2" t="str">
        <x:v>거푸집</x:v>
      </x:c>
      <x:c r="D22" s="2" t="str">
        <x:v>수직부 거푸집 설치</x:v>
      </x:c>
      <x:c r="E22" s="2" t="str">
        <x:v>유로폼 500 × 1200</x:v>
      </x:c>
      <x:c r="F22" s="2" t="str">
        <x:v>장</x:v>
      </x:c>
      <x:c r="G22" s="2" t="n">
        <x:f>'골조공정표'!D18</x:f>
        <x:v>23</x:v>
      </x:c>
      <x:c r="H22" s="2" t="n">
        <x:f>'골조공정표'!E18</x:f>
        <x:v>29</x:v>
      </x:c>
      <x:c r="I22" s="32" t="str">
        <x:f>IF(ISNUMBER('산출기준'!F48),ROUNDUP('산출기준'!F48*'산출기준'!$B$28,0),"")</x:f>
      </x:c>
      <x:c r="J22" s="32" t="str">
        <x:f>IF(ISNUMBER(I22),MIN(I22,MAX(0,'산출기준'!$C$57-SUMIFS($J$11:J21,$C$11:C21,C22))),"")</x:f>
      </x:c>
      <x:c r="K22" s="32" t="str">
        <x:f>IF(ISNUMBER(I22),I22-J22,"")</x:f>
      </x:c>
      <x:c r="L22" s="32" t="n">
        <x:f>MAX(0,G22-'산출기준'!$B$23)</x:f>
        <x:v>22</x:v>
      </x:c>
      <x:c r="M22" s="32" t="str">
        <x:f>IF(ISNUMBER(K22),ROUNDUP(K22/'산출기준'!$B$25,0),"")</x:f>
      </x:c>
      <x:c r="N22" s="2" t="str">
        <x:v>미정</x:v>
      </x:c>
      <x:c r="O22" s="2" t="str">
        <x:f>IF(ISNUMBER(I22),'산출기준'!H48,"수요 입력 대기")</x:f>
        <x:v>수요 입력 대기</x:v>
      </x:c>
    </x:row>
    <x:row r="23" ht="24" customHeight="1">
      <x:c r="A23" s="2" t="n">
        <x:v>12</x:v>
      </x:c>
      <x:c r="B23" s="2" t="str">
        <x:v>105동</x:v>
      </x:c>
      <x:c r="C23" s="2" t="str">
        <x:v>철근</x:v>
      </x:c>
      <x:c r="D23" s="2" t="str">
        <x:v>보·슬래브 철근배근</x:v>
      </x:c>
      <x:c r="E23" s="2" t="str">
        <x:v>규격별 배분 미정</x:v>
      </x:c>
      <x:c r="F23" s="2" t="str">
        <x:v>묶음</x:v>
      </x:c>
      <x:c r="G23" s="2" t="n">
        <x:f>'골조공정표'!D37</x:f>
        <x:v>27</x:v>
      </x:c>
      <x:c r="H23" s="2" t="n">
        <x:f>'골조공정표'!E37</x:f>
        <x:v>29</x:v>
      </x:c>
      <x:c r="I23" s="32" t="str">
        <x:f>IF(ISNUMBER('산출기준'!D50),'산출기준'!D50-ROUNDUP('산출기준'!D50*'산출기준'!$B$27,0),"")</x:f>
      </x:c>
      <x:c r="J23" s="32" t="str">
        <x:f>IF(ISNUMBER(I23),MIN(I23,MAX(0,'산출기준'!$C$56-SUMIFS($J$11:J22,$C$11:C22,C23))),"")</x:f>
      </x:c>
      <x:c r="K23" s="32" t="str">
        <x:f>IF(ISNUMBER(I23),I23-J23,"")</x:f>
      </x:c>
      <x:c r="L23" s="32" t="n">
        <x:f>MAX(0,G23-'산출기준'!$B$23)</x:f>
        <x:v>26</x:v>
      </x:c>
      <x:c r="M23" s="32" t="str">
        <x:f>IF(ISNUMBER(K23),ROUNDUP(K23/'산출기준'!$B$24,0),"")</x:f>
      </x:c>
      <x:c r="N23" s="2" t="str">
        <x:v>미정</x:v>
      </x:c>
      <x:c r="O23" s="2" t="str">
        <x:f>IF(ISNUMBER(I23),'산출기준'!H50,"수요 입력 대기")</x:f>
        <x:v>수요 입력 대기</x:v>
      </x:c>
    </x:row>
    <x:row r="24" ht="24" customHeight="1">
      <x:c r="A24" s="2" t="n">
        <x:v>13</x:v>
      </x:c>
      <x:c r="B24" s="2" t="str">
        <x:v>112동</x:v>
      </x:c>
      <x:c r="C24" s="2" t="str">
        <x:v>시스템동바리</x:v>
      </x:c>
      <x:c r="D24" s="2" t="str">
        <x:v>시스템동바리 조립</x:v>
      </x:c>
      <x:c r="E24" s="2" t="str">
        <x:v>층고 5.20m용 (계획)</x:v>
      </x:c>
      <x:c r="F24" s="2" t="str">
        <x:v>개</x:v>
      </x:c>
      <x:c r="G24" s="2" t="n">
        <x:f>'골조공정표'!D19</x:f>
        <x:v>30</x:v>
      </x:c>
      <x:c r="H24" s="2" t="n">
        <x:f>'골조공정표'!E19</x:f>
        <x:v>32</x:v>
      </x:c>
      <x:c r="I24" s="32" t="str">
        <x:f>IF(ISNUMBER('산출기준'!G48),'산출기준'!G48,"")</x:f>
      </x:c>
      <x:c r="J24" s="32" t="str">
        <x:f>IF(ISNUMBER(I24),MIN(I24,MAX(0,'산출기준'!$C$58-SUMIFS($J$11:J23,$C$11:C23,C24))),"")</x:f>
      </x:c>
      <x:c r="K24" s="32" t="str">
        <x:f>IF(ISNUMBER(I24),I24-J24,"")</x:f>
      </x:c>
      <x:c r="L24" s="32" t="n">
        <x:f>MAX(0,G24-'산출기준'!$B$23)</x:f>
        <x:v>29</x:v>
      </x:c>
      <x:c r="M24" s="32" t="str">
        <x:f>IF(ISNUMBER(K24),ROUNDUP(K24/'산출기준'!$B$26,0),"")</x:f>
      </x:c>
      <x:c r="N24" s="2" t="str">
        <x:v>미정</x:v>
      </x:c>
      <x:c r="O24" s="2" t="str">
        <x:f>IF(ISNUMBER(I24),'산출기준'!H48,"수요 입력 대기")</x:f>
        <x:v>수요 입력 대기</x:v>
      </x:c>
    </x:row>
    <x:row r="25" ht="24" customHeight="1">
      <x:c r="A25" s="2" t="n">
        <x:v>14</x:v>
      </x:c>
      <x:c r="B25" s="2" t="str">
        <x:v>112동</x:v>
      </x:c>
      <x:c r="C25" s="2" t="str">
        <x:v>거푸집</x:v>
      </x:c>
      <x:c r="D25" s="2" t="str">
        <x:v>보·슬래브 거푸집</x:v>
      </x:c>
      <x:c r="E25" s="2" t="str">
        <x:v>유로폼 500 × 1200</x:v>
      </x:c>
      <x:c r="F25" s="2" t="str">
        <x:v>장</x:v>
      </x:c>
      <x:c r="G25" s="2" t="n">
        <x:f>'골조공정표'!D20</x:f>
        <x:v>33</x:v>
      </x:c>
      <x:c r="H25" s="2" t="n">
        <x:f>'골조공정표'!E20</x:f>
        <x:v>36</x:v>
      </x:c>
      <x:c r="I25" s="32" t="str">
        <x:f>IF(ISNUMBER('산출기준'!F48),'산출기준'!F48-ROUNDUP('산출기준'!F48*'산출기준'!$B$28,0),"")</x:f>
      </x:c>
      <x:c r="J25" s="32" t="str">
        <x:f>IF(ISNUMBER(I25),MIN(I25,MAX(0,'산출기준'!$C$57-SUMIFS($J$11:J24,$C$11:C24,C25))),"")</x:f>
      </x:c>
      <x:c r="K25" s="32" t="str">
        <x:f>IF(ISNUMBER(I25),I25-J25,"")</x:f>
      </x:c>
      <x:c r="L25" s="32" t="n">
        <x:f>MAX(0,G25-'산출기준'!$B$23)</x:f>
        <x:v>32</x:v>
      </x:c>
      <x:c r="M25" s="32" t="str">
        <x:f>IF(ISNUMBER(K25),ROUNDUP(K25/'산출기준'!$B$25,0),"")</x:f>
      </x:c>
      <x:c r="N25" s="2" t="str">
        <x:v>미정</x:v>
      </x:c>
      <x:c r="O25" s="2" t="str">
        <x:f>IF(ISNUMBER(I25),'산출기준'!H48,"수요 입력 대기")</x:f>
        <x:v>수요 입력 대기</x:v>
      </x:c>
    </x:row>
    <x:row r="26" ht="24" customHeight="1">
      <x:c r="A26" s="2" t="n">
        <x:v>15</x:v>
      </x:c>
      <x:c r="B26" s="2" t="str">
        <x:v>112동</x:v>
      </x:c>
      <x:c r="C26" s="2" t="str">
        <x:v>철근</x:v>
      </x:c>
      <x:c r="D26" s="2" t="str">
        <x:v>보·슬래브 철근배근</x:v>
      </x:c>
      <x:c r="E26" s="2" t="str">
        <x:v>규격별 배분 미정</x:v>
      </x:c>
      <x:c r="F26" s="2" t="str">
        <x:v>묶음</x:v>
      </x:c>
      <x:c r="G26" s="2" t="n">
        <x:f>'골조공정표'!D21</x:f>
        <x:v>37</x:v>
      </x:c>
      <x:c r="H26" s="2" t="n">
        <x:f>'골조공정표'!E21</x:f>
        <x:v>39</x:v>
      </x:c>
      <x:c r="I26" s="32" t="str">
        <x:f>IF(ISNUMBER('산출기준'!D48),'산출기준'!D48-ROUNDUP('산출기준'!D48*'산출기준'!$B$27,0),"")</x:f>
      </x:c>
      <x:c r="J26" s="32" t="str">
        <x:f>IF(ISNUMBER(I26),MIN(I26,MAX(0,'산출기준'!$C$56-SUMIFS($J$11:J25,$C$11:C25,C26))),"")</x:f>
      </x:c>
      <x:c r="K26" s="32" t="str">
        <x:f>IF(ISNUMBER(I26),I26-J26,"")</x:f>
      </x:c>
      <x:c r="L26" s="32" t="n">
        <x:f>MAX(0,G26-'산출기준'!$B$23)</x:f>
        <x:v>36</x:v>
      </x:c>
      <x:c r="M26" s="32" t="str">
        <x:f>IF(ISNUMBER(K26),ROUNDUP(K26/'산출기준'!$B$24,0),"")</x:f>
      </x:c>
      <x:c r="N26" s="2" t="str">
        <x:v>미정</x:v>
      </x:c>
      <x:c r="O26" s="2" t="str">
        <x:f>IF(ISNUMBER(I26),'산출기준'!H48,"수요 입력 대기")</x:f>
        <x:v>수요 입력 대기</x:v>
      </x:c>
    </x:row>
    <x:row r="27" ht="24" customHeight="1">
      <x:c r="A27" s="2" t="n">
        <x:v>16</x:v>
      </x:c>
      <x:c r="B27" s="2" t="str">
        <x:v>113동</x:v>
      </x:c>
      <x:c r="C27" s="2" t="str">
        <x:v>철근</x:v>
      </x:c>
      <x:c r="D27" s="2" t="str">
        <x:v>벽체·기둥 철근배근</x:v>
      </x:c>
      <x:c r="E27" s="2" t="str">
        <x:v>규격별 배분 미정</x:v>
      </x:c>
      <x:c r="F27" s="2" t="str">
        <x:v>묶음</x:v>
      </x:c>
      <x:c r="G27" s="2" t="n">
        <x:f>'골조공정표'!D9</x:f>
        <x:v>43</x:v>
      </x:c>
      <x:c r="H27" s="2" t="n">
        <x:f>'골조공정표'!E9</x:f>
        <x:v>47</x:v>
      </x:c>
      <x:c r="I27" s="32" t="str">
        <x:f>IF(ISNUMBER('산출기준'!D47),ROUNDUP('산출기준'!D47*'산출기준'!$B$27,0),"")</x:f>
      </x:c>
      <x:c r="J27" s="32" t="str">
        <x:f>IF(ISNUMBER(I27),MIN(I27,MAX(0,'산출기준'!$C$56-SUMIFS($J$11:J26,$C$11:C26,C27))),"")</x:f>
      </x:c>
      <x:c r="K27" s="32" t="str">
        <x:f>IF(ISNUMBER(I27),I27-J27,"")</x:f>
      </x:c>
      <x:c r="L27" s="32" t="n">
        <x:f>MAX(0,G27-'산출기준'!$B$23)</x:f>
        <x:v>42</x:v>
      </x:c>
      <x:c r="M27" s="32" t="str">
        <x:f>IF(ISNUMBER(K27),ROUNDUP(K27/'산출기준'!$B$24,0),"")</x:f>
      </x:c>
      <x:c r="N27" s="2" t="str">
        <x:v>미정</x:v>
      </x:c>
      <x:c r="O27" s="2" t="str">
        <x:f>IF(ISNUMBER(I27),'산출기준'!H47,"수요 입력 대기")</x:f>
        <x:v>수요 입력 대기</x:v>
      </x:c>
    </x:row>
    <x:row r="28" ht="24" customHeight="1">
      <x:c r="A28" s="2" t="n">
        <x:v>17</x:v>
      </x:c>
      <x:c r="B28" s="2" t="str">
        <x:v>113동</x:v>
      </x:c>
      <x:c r="C28" s="2" t="str">
        <x:v>거푸집</x:v>
      </x:c>
      <x:c r="D28" s="2" t="str">
        <x:v>수직부 거푸집 설치</x:v>
      </x:c>
      <x:c r="E28" s="2" t="str">
        <x:v>유로폼 500 × 1200</x:v>
      </x:c>
      <x:c r="F28" s="2" t="str">
        <x:v>장</x:v>
      </x:c>
      <x:c r="G28" s="2" t="n">
        <x:f>'골조공정표'!D10</x:f>
        <x:v>48</x:v>
      </x:c>
      <x:c r="H28" s="2" t="n">
        <x:f>'골조공정표'!E10</x:f>
        <x:v>54</x:v>
      </x:c>
      <x:c r="I28" s="32" t="str">
        <x:f>IF(ISNUMBER('산출기준'!F47),ROUNDUP('산출기준'!F47*'산출기준'!$B$28,0),"")</x:f>
      </x:c>
      <x:c r="J28" s="32" t="str">
        <x:f>IF(ISNUMBER(I28),MIN(I28,MAX(0,'산출기준'!$C$57-SUMIFS($J$11:J27,$C$11:C27,C28))),"")</x:f>
      </x:c>
      <x:c r="K28" s="32" t="str">
        <x:f>IF(ISNUMBER(I28),I28-J28,"")</x:f>
      </x:c>
      <x:c r="L28" s="32" t="n">
        <x:f>MAX(0,G28-'산출기준'!$B$23)</x:f>
        <x:v>47</x:v>
      </x:c>
      <x:c r="M28" s="32" t="str">
        <x:f>IF(ISNUMBER(K28),ROUNDUP(K28/'산출기준'!$B$25,0),"")</x:f>
      </x:c>
      <x:c r="N28" s="2" t="str">
        <x:v>미정</x:v>
      </x:c>
      <x:c r="O28" s="2" t="str">
        <x:f>IF(ISNUMBER(I28),'산출기준'!H47,"수요 입력 대기")</x:f>
        <x:v>수요 입력 대기</x:v>
      </x:c>
    </x:row>
    <x:row r="29" ht="24" customHeight="1">
      <x:c r="A29" s="2" t="n">
        <x:v>18</x:v>
      </x:c>
      <x:c r="B29" s="2" t="str">
        <x:v>113동</x:v>
      </x:c>
      <x:c r="C29" s="2" t="str">
        <x:v>시스템동바리</x:v>
      </x:c>
      <x:c r="D29" s="2" t="str">
        <x:v>시스템동바리 조립</x:v>
      </x:c>
      <x:c r="E29" s="2" t="str">
        <x:v>층고 5.20m용 (계획)</x:v>
      </x:c>
      <x:c r="F29" s="2" t="str">
        <x:v>개</x:v>
      </x:c>
      <x:c r="G29" s="2" t="n">
        <x:f>'골조공정표'!D11</x:f>
        <x:v>55</x:v>
      </x:c>
      <x:c r="H29" s="2" t="n">
        <x:f>'골조공정표'!E11</x:f>
        <x:v>57</x:v>
      </x:c>
      <x:c r="I29" s="32" t="str">
        <x:f>IF(ISNUMBER('산출기준'!G47),'산출기준'!G47,"")</x:f>
      </x:c>
      <x:c r="J29" s="32" t="str">
        <x:f>IF(ISNUMBER(I29),MIN(I29,MAX(0,'산출기준'!$C$58-SUMIFS($J$11:J28,$C$11:C28,C29))),"")</x:f>
      </x:c>
      <x:c r="K29" s="32" t="str">
        <x:f>IF(ISNUMBER(I29),I29-J29,"")</x:f>
      </x:c>
      <x:c r="L29" s="32" t="n">
        <x:f>MAX(0,G29-'산출기준'!$B$23)</x:f>
        <x:v>54</x:v>
      </x:c>
      <x:c r="M29" s="32" t="str">
        <x:f>IF(ISNUMBER(K29),ROUNDUP(K29/'산출기준'!$B$26,0),"")</x:f>
      </x:c>
      <x:c r="N29" s="2" t="str">
        <x:v>미정</x:v>
      </x:c>
      <x:c r="O29" s="2" t="str">
        <x:f>IF(ISNUMBER(I29),'산출기준'!H47,"수요 입력 대기")</x:f>
        <x:v>수요 입력 대기</x:v>
      </x:c>
    </x:row>
    <x:row r="30" ht="24" customHeight="1">
      <x:c r="A30" s="2" t="n">
        <x:v>19</x:v>
      </x:c>
      <x:c r="B30" s="2" t="str">
        <x:v>113동</x:v>
      </x:c>
      <x:c r="C30" s="2" t="str">
        <x:v>거푸집</x:v>
      </x:c>
      <x:c r="D30" s="2" t="str">
        <x:v>보·슬래브 거푸집</x:v>
      </x:c>
      <x:c r="E30" s="2" t="str">
        <x:v>유로폼 500 × 1200</x:v>
      </x:c>
      <x:c r="F30" s="2" t="str">
        <x:v>장</x:v>
      </x:c>
      <x:c r="G30" s="2" t="n">
        <x:f>'골조공정표'!D12</x:f>
        <x:v>58</x:v>
      </x:c>
      <x:c r="H30" s="2" t="n">
        <x:f>'골조공정표'!E12</x:f>
        <x:v>61</x:v>
      </x:c>
      <x:c r="I30" s="32" t="str">
        <x:f>IF(ISNUMBER('산출기준'!F47),'산출기준'!F47-ROUNDUP('산출기준'!F47*'산출기준'!$B$28,0),"")</x:f>
      </x:c>
      <x:c r="J30" s="32" t="str">
        <x:f>IF(ISNUMBER(I30),MIN(I30,MAX(0,'산출기준'!$C$57-SUMIFS($J$11:J29,$C$11:C29,C30))),"")</x:f>
      </x:c>
      <x:c r="K30" s="32" t="str">
        <x:f>IF(ISNUMBER(I30),I30-J30,"")</x:f>
      </x:c>
      <x:c r="L30" s="32" t="n">
        <x:f>MAX(0,G30-'산출기준'!$B$23)</x:f>
        <x:v>57</x:v>
      </x:c>
      <x:c r="M30" s="32" t="str">
        <x:f>IF(ISNUMBER(K30),ROUNDUP(K30/'산출기준'!$B$25,0),"")</x:f>
      </x:c>
      <x:c r="N30" s="2" t="str">
        <x:v>미정</x:v>
      </x:c>
      <x:c r="O30" s="2" t="str">
        <x:f>IF(ISNUMBER(I30),'산출기준'!H47,"수요 입력 대기")</x:f>
        <x:v>수요 입력 대기</x:v>
      </x:c>
    </x:row>
    <x:row r="31" ht="24" customHeight="1">
      <x:c r="A31" s="2" t="n">
        <x:v>20</x:v>
      </x:c>
      <x:c r="B31" s="2" t="str">
        <x:v>113동</x:v>
      </x:c>
      <x:c r="C31" s="2" t="str">
        <x:v>철근</x:v>
      </x:c>
      <x:c r="D31" s="2" t="str">
        <x:v>보·슬래브 철근배근</x:v>
      </x:c>
      <x:c r="E31" s="2" t="str">
        <x:v>규격별 배분 미정</x:v>
      </x:c>
      <x:c r="F31" s="2" t="str">
        <x:v>묶음</x:v>
      </x:c>
      <x:c r="G31" s="2" t="n">
        <x:f>'골조공정표'!D13</x:f>
        <x:v>62</x:v>
      </x:c>
      <x:c r="H31" s="2" t="n">
        <x:f>'골조공정표'!E13</x:f>
        <x:v>64</x:v>
      </x:c>
      <x:c r="I31" s="32" t="str">
        <x:f>IF(ISNUMBER('산출기준'!D47),'산출기준'!D47-ROUNDUP('산출기준'!D47*'산출기준'!$B$27,0),"")</x:f>
      </x:c>
      <x:c r="J31" s="32" t="str">
        <x:f>IF(ISNUMBER(I31),MIN(I31,MAX(0,'산출기준'!$C$56-SUMIFS($J$11:J30,$C$11:C30,C31))),"")</x:f>
      </x:c>
      <x:c r="K31" s="32" t="str">
        <x:f>IF(ISNUMBER(I31),I31-J31,"")</x:f>
      </x:c>
      <x:c r="L31" s="32" t="n">
        <x:f>MAX(0,G31-'산출기준'!$B$23)</x:f>
        <x:v>61</x:v>
      </x:c>
      <x:c r="M31" s="32" t="str">
        <x:f>IF(ISNUMBER(K31),ROUNDUP(K31/'산출기준'!$B$24,0),"")</x:f>
      </x:c>
      <x:c r="N31" s="2" t="str">
        <x:v>미정</x:v>
      </x:c>
      <x:c r="O31" s="2" t="str">
        <x:f>IF(ISNUMBER(I31),'산출기준'!H47,"수요 입력 대기")</x:f>
        <x:v>수요 입력 대기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34" customHeight="1">
      <x:c r="A35" s="16" t="str">
        <x:v>주별 신규 반입</x:v>
      </x:c>
      <x:c r="B35" s="17" t="str">
        <x:v>6월 2주</x:v>
      </x:c>
      <x:c r="C35" s="17" t="str">
        <x:v>6월 3주</x:v>
      </x:c>
      <x:c r="D35" s="17" t="str">
        <x:v>6월 4주</x:v>
      </x:c>
      <x:c r="E35" s="17" t="str">
        <x:v>7월 1주</x:v>
      </x:c>
      <x:c r="F35" s="17" t="str">
        <x:v>7월 2주</x:v>
      </x:c>
      <x:c r="G35" s="17" t="str">
        <x:v>7월 3주</x:v>
      </x:c>
      <x:c r="H35" s="17" t="str">
        <x:v>7월 4주</x:v>
      </x:c>
      <x:c r="I35" s="17" t="str">
        <x:v>8월 1주</x:v>
      </x:c>
      <x:c r="J35" s="17" t="str">
        <x:v>8월 2주</x:v>
      </x:c>
      <x:c r="K35" s="17" t="str">
        <x:v>8월 3주</x:v>
      </x:c>
      <x:c r="L35" s="17" t="str">
        <x:v>8월 4주</x:v>
      </x:c>
      <x:c r="M35" s="17" t="str">
        <x:v>9월 1주</x:v>
      </x:c>
      <x:c r="N35" s="17" t="str">
        <x:v>9월 2주</x:v>
      </x:c>
      <x:c r="O35" s="18" t="str">
        <x:v>9월 3주</x:v>
      </x:c>
    </x:row>
    <x:row r="36" ht="24" customHeight="1">
      <x:c r="A36" s="2"/>
      <x:c r="B36" s="33" t="n">
        <x:v>1</x:v>
      </x:c>
      <x:c r="C36" s="33" t="n">
        <x:v>6</x:v>
      </x:c>
      <x:c r="D36" s="33" t="n">
        <x:v>11</x:v>
      </x:c>
      <x:c r="E36" s="33" t="n">
        <x:v>16</x:v>
      </x:c>
      <x:c r="F36" s="33" t="n">
        <x:v>21</x:v>
      </x:c>
      <x:c r="G36" s="33" t="n">
        <x:v>26</x:v>
      </x:c>
      <x:c r="H36" s="33" t="n">
        <x:v>31</x:v>
      </x:c>
      <x:c r="I36" s="33" t="n">
        <x:v>36</x:v>
      </x:c>
      <x:c r="J36" s="33" t="n">
        <x:v>41</x:v>
      </x:c>
      <x:c r="K36" s="33" t="n">
        <x:v>46</x:v>
      </x:c>
      <x:c r="L36" s="33" t="n">
        <x:v>51</x:v>
      </x:c>
      <x:c r="M36" s="33" t="n">
        <x:v>56</x:v>
      </x:c>
      <x:c r="N36" s="33" t="n">
        <x:v>61</x:v>
      </x:c>
      <x:c r="O36" s="33" t="n">
        <x:v>66</x:v>
      </x:c>
    </x:row>
    <x:row r="37" ht="24" customHeight="1">
      <x:c r="A37" s="2" t="str">
        <x:v>철근</x:v>
      </x:c>
      <x:c r="B37" s="32" t="str">
        <x:f>IF(ISNUMBER($B$6),SUMIFS($K$12:$K$31,$C$12:$C$31,$A37,$L$12:$L$31,"&gt;="&amp;B$36,$L$12:$L$31,"&lt;="&amp;B$36+4),"")</x:f>
      </x:c>
      <x:c r="C37" s="32" t="str">
        <x:f>IF(ISNUMBER($B$6),SUMIFS($K$12:$K$31,$C$12:$C$31,$A37,$L$12:$L$31,"&gt;="&amp;C$36,$L$12:$L$31,"&lt;="&amp;C$36+4),"")</x:f>
      </x:c>
      <x:c r="D37" s="32" t="str">
        <x:f>IF(ISNUMBER($B$6),SUMIFS($K$12:$K$31,$C$12:$C$31,$A37,$L$12:$L$31,"&gt;="&amp;D$36,$L$12:$L$31,"&lt;="&amp;D$36+4),"")</x:f>
      </x:c>
      <x:c r="E37" s="32" t="str">
        <x:f>IF(ISNUMBER($B$6),SUMIFS($K$12:$K$31,$C$12:$C$31,$A37,$L$12:$L$31,"&gt;="&amp;E$36,$L$12:$L$31,"&lt;="&amp;E$36+4),"")</x:f>
      </x:c>
      <x:c r="F37" s="32" t="str">
        <x:f>IF(ISNUMBER($B$6),SUMIFS($K$12:$K$31,$C$12:$C$31,$A37,$L$12:$L$31,"&gt;="&amp;F$36,$L$12:$L$31,"&lt;="&amp;F$36+4),"")</x:f>
      </x:c>
      <x:c r="G37" s="32" t="str">
        <x:f>IF(ISNUMBER($B$6),SUMIFS($K$12:$K$31,$C$12:$C$31,$A37,$L$12:$L$31,"&gt;="&amp;G$36,$L$12:$L$31,"&lt;="&amp;G$36+4),"")</x:f>
      </x:c>
      <x:c r="H37" s="32" t="str">
        <x:f>IF(ISNUMBER($B$6),SUMIFS($K$12:$K$31,$C$12:$C$31,$A37,$L$12:$L$31,"&gt;="&amp;H$36,$L$12:$L$31,"&lt;="&amp;H$36+4),"")</x:f>
      </x:c>
      <x:c r="I37" s="32" t="str">
        <x:f>IF(ISNUMBER($B$6),SUMIFS($K$12:$K$31,$C$12:$C$31,$A37,$L$12:$L$31,"&gt;="&amp;I$36,$L$12:$L$31,"&lt;="&amp;I$36+4),"")</x:f>
      </x:c>
      <x:c r="J37" s="32" t="str">
        <x:f>IF(ISNUMBER($B$6),SUMIFS($K$12:$K$31,$C$12:$C$31,$A37,$L$12:$L$31,"&gt;="&amp;J$36,$L$12:$L$31,"&lt;="&amp;J$36+4),"")</x:f>
      </x:c>
      <x:c r="K37" s="32" t="str">
        <x:f>IF(ISNUMBER($B$6),SUMIFS($K$12:$K$31,$C$12:$C$31,$A37,$L$12:$L$31,"&gt;="&amp;K$36,$L$12:$L$31,"&lt;="&amp;K$36+4),"")</x:f>
      </x:c>
      <x:c r="L37" s="32" t="str">
        <x:f>IF(ISNUMBER($B$6),SUMIFS($K$12:$K$31,$C$12:$C$31,$A37,$L$12:$L$31,"&gt;="&amp;L$36,$L$12:$L$31,"&lt;="&amp;L$36+4),"")</x:f>
      </x:c>
      <x:c r="M37" s="32" t="str">
        <x:f>IF(ISNUMBER($B$6),SUMIFS($K$12:$K$31,$C$12:$C$31,$A37,$L$12:$L$31,"&gt;="&amp;M$36,$L$12:$L$31,"&lt;="&amp;M$36+4),"")</x:f>
      </x:c>
      <x:c r="N37" s="32" t="str">
        <x:f>IF(ISNUMBER($B$6),SUMIFS($K$12:$K$31,$C$12:$C$31,$A37,$L$12:$L$31,"&gt;="&amp;N$36,$L$12:$L$31,"&lt;="&amp;N$36+4),"")</x:f>
      </x:c>
      <x:c r="O37" s="32" t="str">
        <x:f>IF(ISNUMBER($B$6),SUMIFS($K$12:$K$31,$C$12:$C$31,$A37,$L$12:$L$31,"&gt;="&amp;O$36,$L$12:$L$31,"&lt;="&amp;O$36+4),"")</x:f>
      </x:c>
    </x:row>
    <x:row r="38" ht="24" customHeight="1">
      <x:c r="A38" s="2" t="str">
        <x:v>거푸집</x:v>
      </x:c>
      <x:c r="B38" s="32" t="str">
        <x:f>IF(ISNUMBER($B$7),SUMIFS($K$12:$K$31,$C$12:$C$31,$A38,$L$12:$L$31,"&gt;="&amp;B$36,$L$12:$L$31,"&lt;="&amp;B$36+4),"")</x:f>
      </x:c>
      <x:c r="C38" s="32" t="str">
        <x:f>IF(ISNUMBER($B$7),SUMIFS($K$12:$K$31,$C$12:$C$31,$A38,$L$12:$L$31,"&gt;="&amp;C$36,$L$12:$L$31,"&lt;="&amp;C$36+4),"")</x:f>
      </x:c>
      <x:c r="D38" s="32" t="str">
        <x:f>IF(ISNUMBER($B$7),SUMIFS($K$12:$K$31,$C$12:$C$31,$A38,$L$12:$L$31,"&gt;="&amp;D$36,$L$12:$L$31,"&lt;="&amp;D$36+4),"")</x:f>
      </x:c>
      <x:c r="E38" s="32" t="str">
        <x:f>IF(ISNUMBER($B$7),SUMIFS($K$12:$K$31,$C$12:$C$31,$A38,$L$12:$L$31,"&gt;="&amp;E$36,$L$12:$L$31,"&lt;="&amp;E$36+4),"")</x:f>
      </x:c>
      <x:c r="F38" s="32" t="str">
        <x:f>IF(ISNUMBER($B$7),SUMIFS($K$12:$K$31,$C$12:$C$31,$A38,$L$12:$L$31,"&gt;="&amp;F$36,$L$12:$L$31,"&lt;="&amp;F$36+4),"")</x:f>
      </x:c>
      <x:c r="G38" s="32" t="str">
        <x:f>IF(ISNUMBER($B$7),SUMIFS($K$12:$K$31,$C$12:$C$31,$A38,$L$12:$L$31,"&gt;="&amp;G$36,$L$12:$L$31,"&lt;="&amp;G$36+4),"")</x:f>
      </x:c>
      <x:c r="H38" s="32" t="str">
        <x:f>IF(ISNUMBER($B$7),SUMIFS($K$12:$K$31,$C$12:$C$31,$A38,$L$12:$L$31,"&gt;="&amp;H$36,$L$12:$L$31,"&lt;="&amp;H$36+4),"")</x:f>
      </x:c>
      <x:c r="I38" s="32" t="str">
        <x:f>IF(ISNUMBER($B$7),SUMIFS($K$12:$K$31,$C$12:$C$31,$A38,$L$12:$L$31,"&gt;="&amp;I$36,$L$12:$L$31,"&lt;="&amp;I$36+4),"")</x:f>
      </x:c>
      <x:c r="J38" s="32" t="str">
        <x:f>IF(ISNUMBER($B$7),SUMIFS($K$12:$K$31,$C$12:$C$31,$A38,$L$12:$L$31,"&gt;="&amp;J$36,$L$12:$L$31,"&lt;="&amp;J$36+4),"")</x:f>
      </x:c>
      <x:c r="K38" s="32" t="str">
        <x:f>IF(ISNUMBER($B$7),SUMIFS($K$12:$K$31,$C$12:$C$31,$A38,$L$12:$L$31,"&gt;="&amp;K$36,$L$12:$L$31,"&lt;="&amp;K$36+4),"")</x:f>
      </x:c>
      <x:c r="L38" s="32" t="str">
        <x:f>IF(ISNUMBER($B$7),SUMIFS($K$12:$K$31,$C$12:$C$31,$A38,$L$12:$L$31,"&gt;="&amp;L$36,$L$12:$L$31,"&lt;="&amp;L$36+4),"")</x:f>
      </x:c>
      <x:c r="M38" s="32" t="str">
        <x:f>IF(ISNUMBER($B$7),SUMIFS($K$12:$K$31,$C$12:$C$31,$A38,$L$12:$L$31,"&gt;="&amp;M$36,$L$12:$L$31,"&lt;="&amp;M$36+4),"")</x:f>
      </x:c>
      <x:c r="N38" s="32" t="str">
        <x:f>IF(ISNUMBER($B$7),SUMIFS($K$12:$K$31,$C$12:$C$31,$A38,$L$12:$L$31,"&gt;="&amp;N$36,$L$12:$L$31,"&lt;="&amp;N$36+4),"")</x:f>
      </x:c>
      <x:c r="O38" s="32" t="str">
        <x:f>IF(ISNUMBER($B$7),SUMIFS($K$12:$K$31,$C$12:$C$31,$A38,$L$12:$L$31,"&gt;="&amp;O$36,$L$12:$L$31,"&lt;="&amp;O$36+4),"")</x:f>
      </x:c>
    </x:row>
    <x:row r="39" ht="24" customHeight="1">
      <x:c r="A39" s="2" t="str">
        <x:v>시스템동바리</x:v>
      </x:c>
      <x:c r="B39" s="32" t="str">
        <x:f>IF(ISNUMBER($B$8),SUMIFS($K$12:$K$31,$C$12:$C$31,$A39,$L$12:$L$31,"&gt;="&amp;B$36,$L$12:$L$31,"&lt;="&amp;B$36+4),"")</x:f>
      </x:c>
      <x:c r="C39" s="32" t="str">
        <x:f>IF(ISNUMBER($B$8),SUMIFS($K$12:$K$31,$C$12:$C$31,$A39,$L$12:$L$31,"&gt;="&amp;C$36,$L$12:$L$31,"&lt;="&amp;C$36+4),"")</x:f>
      </x:c>
      <x:c r="D39" s="32" t="str">
        <x:f>IF(ISNUMBER($B$8),SUMIFS($K$12:$K$31,$C$12:$C$31,$A39,$L$12:$L$31,"&gt;="&amp;D$36,$L$12:$L$31,"&lt;="&amp;D$36+4),"")</x:f>
      </x:c>
      <x:c r="E39" s="32" t="str">
        <x:f>IF(ISNUMBER($B$8),SUMIFS($K$12:$K$31,$C$12:$C$31,$A39,$L$12:$L$31,"&gt;="&amp;E$36,$L$12:$L$31,"&lt;="&amp;E$36+4),"")</x:f>
      </x:c>
      <x:c r="F39" s="32" t="str">
        <x:f>IF(ISNUMBER($B$8),SUMIFS($K$12:$K$31,$C$12:$C$31,$A39,$L$12:$L$31,"&gt;="&amp;F$36,$L$12:$L$31,"&lt;="&amp;F$36+4),"")</x:f>
      </x:c>
      <x:c r="G39" s="32" t="str">
        <x:f>IF(ISNUMBER($B$8),SUMIFS($K$12:$K$31,$C$12:$C$31,$A39,$L$12:$L$31,"&gt;="&amp;G$36,$L$12:$L$31,"&lt;="&amp;G$36+4),"")</x:f>
      </x:c>
      <x:c r="H39" s="32" t="str">
        <x:f>IF(ISNUMBER($B$8),SUMIFS($K$12:$K$31,$C$12:$C$31,$A39,$L$12:$L$31,"&gt;="&amp;H$36,$L$12:$L$31,"&lt;="&amp;H$36+4),"")</x:f>
      </x:c>
      <x:c r="I39" s="32" t="str">
        <x:f>IF(ISNUMBER($B$8),SUMIFS($K$12:$K$31,$C$12:$C$31,$A39,$L$12:$L$31,"&gt;="&amp;I$36,$L$12:$L$31,"&lt;="&amp;I$36+4),"")</x:f>
      </x:c>
      <x:c r="J39" s="32" t="str">
        <x:f>IF(ISNUMBER($B$8),SUMIFS($K$12:$K$31,$C$12:$C$31,$A39,$L$12:$L$31,"&gt;="&amp;J$36,$L$12:$L$31,"&lt;="&amp;J$36+4),"")</x:f>
      </x:c>
      <x:c r="K39" s="32" t="str">
        <x:f>IF(ISNUMBER($B$8),SUMIFS($K$12:$K$31,$C$12:$C$31,$A39,$L$12:$L$31,"&gt;="&amp;K$36,$L$12:$L$31,"&lt;="&amp;K$36+4),"")</x:f>
      </x:c>
      <x:c r="L39" s="32" t="str">
        <x:f>IF(ISNUMBER($B$8),SUMIFS($K$12:$K$31,$C$12:$C$31,$A39,$L$12:$L$31,"&gt;="&amp;L$36,$L$12:$L$31,"&lt;="&amp;L$36+4),"")</x:f>
      </x:c>
      <x:c r="M39" s="32" t="str">
        <x:f>IF(ISNUMBER($B$8),SUMIFS($K$12:$K$31,$C$12:$C$31,$A39,$L$12:$L$31,"&gt;="&amp;M$36,$L$12:$L$31,"&lt;="&amp;M$36+4),"")</x:f>
      </x:c>
      <x:c r="N39" s="32" t="str">
        <x:f>IF(ISNUMBER($B$8),SUMIFS($K$12:$K$31,$C$12:$C$31,$A39,$L$12:$L$31,"&gt;="&amp;N$36,$L$12:$L$31,"&lt;="&amp;N$36+4),"")</x:f>
      </x:c>
      <x:c r="O39" s="32" t="str">
        <x:f>IF(ISNUMBER($B$8),SUMIFS($K$12:$K$31,$C$12:$C$31,$A39,$L$12:$L$31,"&gt;="&amp;O$36,$L$12:$L$31,"&lt;="&amp;O$36+4),"")</x:f>
      </x:c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DA28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.5" hidden="0" customWidth="1"/>
    <x:col min="2" max="2" width="23.7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1.880000114440918" hidden="0" customWidth="1"/>
    <x:col min="9" max="9" width="2.75" hidden="0" customWidth="1"/>
    <x:col min="10" max="10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산출 기준과 입력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5" t="str">
        <x:v>노란 칸: 입력값 · 1층 면적과 동별 자재 수요는 미제공 상태로 보존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40" customHeight="1">
      <x:c r="A4" s="2"/>
      <x:c r="B4" s="2"/>
      <x:c r="C4" s="2"/>
      <x:c r="D4" s="2"/>
      <x:c r="E4" s="2"/>
      <x:c r="F4" s="2"/>
      <x:c r="G4" s="2"/>
      <x:c r="H4" s="2"/>
      <x:c r="I4" s="2"/>
      <x:c r="J4" s="7" t="str">
        <x:v>WD 1 = 104동 6월 2주 착수. 원자료에 연도가 없어 절대 날짜를 지정하지 않았습니다.</x:v>
      </x:c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16" t="str">
        <x:v>동</x:v>
      </x:c>
      <x:c r="B6" s="17" t="str">
        <x:v>마스터 시작 WD</x:v>
      </x:c>
      <x:c r="C6" s="17" t="str">
        <x:v>마스터 종료 WD</x:v>
      </x:c>
      <x:c r="D6" s="17" t="str">
        <x:v>1층 면적 (㎡)</x:v>
      </x:c>
      <x:c r="E6" s="17" t="str">
        <x:v>철근 직접 수요 (묶음)</x:v>
      </x:c>
      <x:c r="F6" s="17" t="str">
        <x:v>거푸집 직접 수요 (장)</x:v>
      </x:c>
      <x:c r="G6" s="17" t="str">
        <x:v>동바리 직접 수요 (개)</x:v>
      </x:c>
      <x:c r="H6" s="18" t="str">
        <x:v>층고 (m)</x:v>
      </x:c>
      <x:c r="I6" s="2"/>
      <x:c r="J6" s="2"/>
    </x:row>
    <x:row r="7" ht="24" customHeight="1">
      <x:c r="A7" s="2" t="str">
        <x:v>113동</x:v>
      </x:c>
      <x:c r="B7" s="2" t="n">
        <x:v>41</x:v>
      </x:c>
      <x:c r="C7" s="2" t="n">
        <x:v>70</x:v>
      </x:c>
      <x:c r="D7" s="21"/>
      <x:c r="E7" s="22"/>
      <x:c r="F7" s="22"/>
      <x:c r="G7" s="22"/>
      <x:c r="H7" s="23" t="n">
        <x:f>$B$29</x:f>
        <x:v>5.2</x:v>
      </x:c>
      <x:c r="I7" s="2"/>
      <x:c r="J7" s="2" t="str">
        <x:v>11M · 8월 2주 ~ 12M · 9월 3주 / 사용자 제공 골조 공정표</x:v>
      </x:c>
    </x:row>
    <x:row r="8" ht="24" customHeight="1">
      <x:c r="A8" s="2" t="str">
        <x:v>112동</x:v>
      </x:c>
      <x:c r="B8" s="2" t="n">
        <x:v>16</x:v>
      </x:c>
      <x:c r="C8" s="2" t="n">
        <x:v>45</x:v>
      </x:c>
      <x:c r="D8" s="21"/>
      <x:c r="E8" s="22"/>
      <x:c r="F8" s="22"/>
      <x:c r="G8" s="22"/>
      <x:c r="H8" s="23" t="n">
        <x:f>$B$29</x:f>
        <x:v>5.2</x:v>
      </x:c>
      <x:c r="I8" s="2"/>
      <x:c r="J8" s="2" t="str">
        <x:v>10M · 7월 1주 ~ 11M · 8월 2주 / 사용자 제공 골조 공정표</x:v>
      </x:c>
    </x:row>
    <x:row r="9" ht="24" customHeight="1">
      <x:c r="A9" s="2" t="str">
        <x:v>104동</x:v>
      </x:c>
      <x:c r="B9" s="2" t="n">
        <x:v>1</x:v>
      </x:c>
      <x:c r="C9" s="2" t="n">
        <x:v>30</x:v>
      </x:c>
      <x:c r="D9" s="21"/>
      <x:c r="E9" s="22"/>
      <x:c r="F9" s="22"/>
      <x:c r="G9" s="22"/>
      <x:c r="H9" s="23" t="n">
        <x:f>$B$29</x:f>
        <x:v>5.2</x:v>
      </x:c>
      <x:c r="I9" s="2"/>
      <x:c r="J9" s="2" t="str">
        <x:v>9M · 6월 2주 ~ 10M · 7월 3주 / 사용자 제공 골조 공정표</x:v>
      </x:c>
    </x:row>
    <x:row r="10" ht="24" customHeight="1">
      <x:c r="A10" s="2" t="str">
        <x:v>105동</x:v>
      </x:c>
      <x:c r="B10" s="2" t="n">
        <x:v>6</x:v>
      </x:c>
      <x:c r="C10" s="2" t="n">
        <x:v>35</x:v>
      </x:c>
      <x:c r="D10" s="21"/>
      <x:c r="E10" s="22"/>
      <x:c r="F10" s="22"/>
      <x:c r="G10" s="22"/>
      <x:c r="H10" s="23" t="n">
        <x:f>$B$29</x:f>
        <x:v>5.2</x:v>
      </x:c>
      <x:c r="I10" s="2"/>
      <x:c r="J10" s="2" t="str">
        <x:v>9M · 6월 3주 ~ 10M · 7월 4주 / 사용자 제공 골조 공정표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5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7" t="str">
        <x:v>직접 수요가 있으면 그 값을 사용합니다. 직접 수요가 비어 있으면 1층 면적과 아래 원단위로 추정합니다. 둘 다 비어 있으면 수량을 계산하지 않습니다.</x:v>
      </x:c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34" customHeight="1">
      <x:c r="A15" s="16" t="str">
        <x:v>입력 항목</x:v>
      </x:c>
      <x:c r="B15" s="17" t="str">
        <x:v>값</x:v>
      </x:c>
      <x:c r="C15" s="17" t="str">
        <x:v>단위</x:v>
      </x:c>
      <x:c r="D15" s="17" t="str">
        <x:v>구분</x:v>
      </x:c>
      <x:c r="E15" s="18" t="str">
        <x:v>내용</x:v>
      </x:c>
      <x:c r="F15" s="2"/>
      <x:c r="G15" s="2"/>
      <x:c r="H15" s="2"/>
      <x:c r="I15" s="2"/>
      <x:c r="J15" s="2"/>
    </x:row>
    <x:row r="16" ht="24" customHeight="1">
      <x:c r="A16" s="2" t="str">
        <x:v>평 환산</x:v>
      </x:c>
      <x:c r="B16" s="24" t="n">
        <x:v>3.305785</x:v>
      </x:c>
      <x:c r="C16" s="2" t="str">
        <x:v>㎡/평</x:v>
      </x:c>
      <x:c r="D16" s="2" t="str">
        <x:v>환산</x:v>
      </x:c>
      <x:c r="E16" s="2" t="str"/>
      <x:c r="F16" s="2"/>
      <x:c r="G16" s="2"/>
      <x:c r="H16" s="2"/>
      <x:c r="I16" s="2"/>
      <x:c r="J16" s="2"/>
    </x:row>
    <x:row r="17" ht="55" customHeight="1">
      <x:c r="A17" s="2" t="str">
        <x:v>철근 원단위</x:v>
      </x:c>
      <x:c r="B17" s="24" t="n">
        <x:v>175.9</x:v>
      </x:c>
      <x:c r="C17" s="2" t="str">
        <x:v>kg/평</x:v>
      </x:c>
      <x:c r="D17" s="2" t="str">
        <x:v>기존 자료</x:v>
      </x:c>
      <x:c r="E17" s="2" t="str">
        <x:v>1층 전용 실적값 아님</x:v>
      </x:c>
      <x:c r="F17" s="2"/>
      <x:c r="G17" s="2"/>
      <x:c r="H17" s="2"/>
      <x:c r="I17" s="2"/>
      <x:c r="J17" s="7" t="str">
        <x:v>원단위 출처: 기존 현장 골조 계획 자료(철근 175.9kg/평, 거푸집 12.4㎡/평). 1층 실측 수요가 있으면 직접 수요 입력을 사용합니다.</x:v>
      </x:c>
    </x:row>
    <x:row r="18" ht="24" customHeight="1">
      <x:c r="A18" s="2" t="str">
        <x:v>거푸집 원단위</x:v>
      </x:c>
      <x:c r="B18" s="24" t="n">
        <x:v>12.4</x:v>
      </x:c>
      <x:c r="C18" s="2" t="str">
        <x:v>㎡/평</x:v>
      </x:c>
      <x:c r="D18" s="2" t="str">
        <x:v>기존 자료</x:v>
      </x:c>
      <x:c r="E18" s="2" t="str">
        <x:v>1층 적용은 추정</x:v>
      </x:c>
      <x:c r="F18" s="2"/>
      <x:c r="G18" s="2"/>
      <x:c r="H18" s="2"/>
      <x:c r="I18" s="2"/>
      <x:c r="J18" s="2"/>
    </x:row>
    <x:row r="19" ht="24" customHeight="1">
      <x:c r="A19" s="2" t="str">
        <x:v>철근 묶음 중량</x:v>
      </x:c>
      <x:c r="B19" s="25" t="n">
        <x:v>1000</x:v>
      </x:c>
      <x:c r="C19" s="2" t="str">
        <x:v>kg/묶음</x:v>
      </x:c>
      <x:c r="D19" s="2" t="str">
        <x:v>가정</x:v>
      </x:c>
      <x:c r="E19" s="2" t="str"/>
      <x:c r="F19" s="2"/>
      <x:c r="G19" s="2"/>
      <x:c r="H19" s="2"/>
      <x:c r="I19" s="2"/>
      <x:c r="J19" s="2"/>
    </x:row>
    <x:row r="20" ht="24" customHeight="1">
      <x:c r="A20" s="2" t="str">
        <x:v>거푸집 폭</x:v>
      </x:c>
      <x:c r="B20" s="25" t="n">
        <x:v>500</x:v>
      </x:c>
      <x:c r="C20" s="2" t="str">
        <x:v>mm</x:v>
      </x:c>
      <x:c r="D20" s="2" t="str">
        <x:v>웹 선택 규격</x:v>
      </x:c>
      <x:c r="E20" s="2" t="str"/>
      <x:c r="F20" s="2"/>
      <x:c r="G20" s="2"/>
      <x:c r="H20" s="2"/>
      <x:c r="I20" s="2"/>
      <x:c r="J20" s="2"/>
    </x:row>
    <x:row r="21" ht="24" customHeight="1">
      <x:c r="A21" s="2" t="str">
        <x:v>거푸집 높이</x:v>
      </x:c>
      <x:c r="B21" s="25" t="n">
        <x:v>1200</x:v>
      </x:c>
      <x:c r="C21" s="2" t="str">
        <x:v>mm</x:v>
      </x:c>
      <x:c r="D21" s="2" t="str">
        <x:v>웹 선택 규격</x:v>
      </x:c>
      <x:c r="E21" s="2" t="str"/>
      <x:c r="F21" s="2"/>
      <x:c r="G21" s="2"/>
      <x:c r="H21" s="2"/>
      <x:c r="I21" s="2"/>
      <x:c r="J21" s="2"/>
    </x:row>
    <x:row r="22" ht="45" customHeight="1">
      <x:c r="A22" s="2" t="str">
        <x:v>동바리 환산 밀도</x:v>
      </x:c>
      <x:c r="B22" s="25" t="n">
        <x:v>0.62</x:v>
      </x:c>
      <x:c r="C22" s="2" t="str">
        <x:v>개/㎡</x:v>
      </x:c>
      <x:c r="D22" s="2" t="str">
        <x:v>가정</x:v>
      </x:c>
      <x:c r="E22" s="2" t="str">
        <x:v>지지점 환산, 부재별 수량 아님</x:v>
      </x:c>
      <x:c r="F22" s="2"/>
      <x:c r="G22" s="2"/>
      <x:c r="H22" s="2"/>
      <x:c r="I22" s="2"/>
      <x:c r="J22" s="7" t="str">
        <x:v>동바리 밀도는 기존 계획 가정입니다. 실제 수직재·수평재·가새·잭 물량으로 환산하지 않았습니다.</x:v>
      </x:c>
    </x:row>
    <x:row r="23" ht="24" customHeight="1">
      <x:c r="A23" s="2" t="str">
        <x:v>선반입 작업일</x:v>
      </x:c>
      <x:c r="B23" s="25" t="n">
        <x:v>1</x:v>
      </x:c>
      <x:c r="C23" s="2" t="str">
        <x:v>WD</x:v>
      </x:c>
      <x:c r="D23" s="2" t="str">
        <x:v>가정</x:v>
      </x:c>
      <x:c r="E23" s="2" t="str">
        <x:v>사용 착수 1 WD 전</x:v>
      </x:c>
      <x:c r="F23" s="2"/>
      <x:c r="G23" s="2"/>
      <x:c r="H23" s="2"/>
      <x:c r="I23" s="2"/>
      <x:c r="J23" s="2"/>
    </x:row>
    <x:row r="24" ht="24" customHeight="1">
      <x:c r="A24" s="2" t="str">
        <x:v>철근 분할 단위</x:v>
      </x:c>
      <x:c r="B24" s="25" t="n">
        <x:v>10</x:v>
      </x:c>
      <x:c r="C24" s="2" t="str">
        <x:v>묶음/차수</x:v>
      </x:c>
      <x:c r="D24" s="2" t="str">
        <x:v>가정</x:v>
      </x:c>
      <x:c r="E24" s="2" t="str">
        <x:v>차량 적재능력 아님</x:v>
      </x:c>
      <x:c r="F24" s="2"/>
      <x:c r="G24" s="2"/>
      <x:c r="H24" s="2"/>
      <x:c r="I24" s="2"/>
      <x:c r="J24" s="2"/>
    </x:row>
    <x:row r="25" ht="24" customHeight="1">
      <x:c r="A25" s="2" t="str">
        <x:v>거푸집 분할 단위</x:v>
      </x:c>
      <x:c r="B25" s="25" t="n">
        <x:v>500</x:v>
      </x:c>
      <x:c r="C25" s="2" t="str">
        <x:v>장/차수</x:v>
      </x:c>
      <x:c r="D25" s="2" t="str">
        <x:v>가정</x:v>
      </x:c>
      <x:c r="E25" s="2" t="str">
        <x:v>차량 적재능력 아님</x:v>
      </x:c>
      <x:c r="F25" s="2"/>
      <x:c r="G25" s="2"/>
      <x:c r="H25" s="2"/>
      <x:c r="I25" s="2"/>
      <x:c r="J25" s="2"/>
    </x:row>
    <x:row r="26" ht="24" customHeight="1">
      <x:c r="A26" s="2" t="str">
        <x:v>동바리 분할 단위</x:v>
      </x:c>
      <x:c r="B26" s="25" t="n">
        <x:v>200</x:v>
      </x:c>
      <x:c r="C26" s="2" t="str">
        <x:v>개/차수</x:v>
      </x:c>
      <x:c r="D26" s="2" t="str">
        <x:v>가정</x:v>
      </x:c>
      <x:c r="E26" s="2" t="str">
        <x:v>지지점 환산 관리 단위</x:v>
      </x:c>
      <x:c r="F26" s="2"/>
      <x:c r="G26" s="2"/>
      <x:c r="H26" s="2"/>
      <x:c r="I26" s="2"/>
      <x:c r="J26" s="2"/>
    </x:row>
    <x:row r="27" ht="24" customHeight="1">
      <x:c r="A27" s="2" t="str">
        <x:v>수직부 철근 비중</x:v>
      </x:c>
      <x:c r="B27" s="26" t="n">
        <x:v>0.4</x:v>
      </x:c>
      <x:c r="C27" s="2" t="str">
        <x:v>비율</x:v>
      </x:c>
      <x:c r="D27" s="2" t="str">
        <x:v>가정</x:v>
      </x:c>
      <x:c r="E27" s="2" t="str">
        <x:v>나머지는 보·슬래브</x:v>
      </x:c>
      <x:c r="F27" s="2"/>
      <x:c r="G27" s="2"/>
      <x:c r="H27" s="2"/>
      <x:c r="I27" s="2"/>
      <x:c r="J27" s="2"/>
    </x:row>
    <x:row r="28" ht="24" customHeight="1">
      <x:c r="A28" s="2" t="str">
        <x:v>수직부 거푸집 비중</x:v>
      </x:c>
      <x:c r="B28" s="26" t="n">
        <x:v>0.45</x:v>
      </x:c>
      <x:c r="C28" s="2" t="str">
        <x:v>비율</x:v>
      </x:c>
      <x:c r="D28" s="2" t="str">
        <x:v>가정</x:v>
      </x:c>
      <x:c r="E28" s="2" t="str">
        <x:v>나머지는 보·슬래브</x:v>
      </x:c>
      <x:c r="F28" s="2"/>
      <x:c r="G28" s="2"/>
      <x:c r="H28" s="2"/>
      <x:c r="I28" s="2"/>
      <x:c r="J28" s="2"/>
    </x:row>
    <x:row r="29" ht="52" customHeight="1">
      <x:c r="A29" s="2" t="str">
        <x:v>1층/필로티 층고</x:v>
      </x:c>
      <x:c r="B29" s="24" t="n">
        <x:v>5.2</x:v>
      </x:c>
      <x:c r="C29" s="2" t="str">
        <x:v>m</x:v>
      </x:c>
      <x:c r="D29" s="2" t="str">
        <x:v>원자료</x:v>
      </x:c>
      <x:c r="E29" s="2" t="str">
        <x:v>실제 동바리 조립높이와 다름</x:v>
      </x:c>
      <x:c r="F29" s="2"/>
      <x:c r="G29" s="2"/>
      <x:c r="H29" s="2"/>
      <x:c r="I29" s="2"/>
      <x:c r="J29" s="28" t="str">
        <x:v>시스템동바리 / 층고 5.20m용 (계획). 부재 조합·간격·허용하중·조립높이는 구조도와 조립도 확정 후 결정합니다.</x:v>
      </x:c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 t="str">
        <x:v>시스템동바리 제품 구성 참고</x:v>
      </x:c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 t="str">
        <x:v>https://en.sy-sys.co.kr/products.html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 t="str">
        <x:v>동바리 조립 기준 참고: KOSHA</x:v>
      </x:c>
    </x:row>
    <x:row r="33" ht="4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9" t="str">
        <x:v>https://edu.kosha.or.kr/headquater/support/pds/filedownload/20240618161529_4648504880514822912_pdf</x:v>
      </x:c>
    </x:row>
    <x:row r="34" ht="34" customHeight="1">
      <x:c r="A34" s="16" t="str">
        <x:v>단계</x:v>
      </x:c>
      <x:c r="B34" s="17" t="str">
        <x:v>공정</x:v>
      </x:c>
      <x:c r="C34" s="17" t="str">
        <x:v>착수 상대 WD</x:v>
      </x:c>
      <x:c r="D34" s="17" t="str">
        <x:v>완료 상대 WD</x:v>
      </x:c>
      <x:c r="E34" s="17" t="str">
        <x:v>자재</x:v>
      </x:c>
      <x:c r="F34" s="18" t="str">
        <x:v>수직부 비중</x:v>
      </x:c>
      <x:c r="G34" s="2"/>
      <x:c r="H34" s="2"/>
      <x:c r="I34" s="2"/>
      <x:c r="J34" s="2"/>
    </x:row>
    <x:row r="35" ht="60" customHeight="1">
      <x:c r="A35" s="2" t="n">
        <x:v>1</x:v>
      </x:c>
      <x:c r="B35" s="2" t="str">
        <x:v>준비·먹매김</x:v>
      </x:c>
      <x:c r="C35" s="19" t="n">
        <x:v>1</x:v>
      </x:c>
      <x:c r="D35" s="19" t="n">
        <x:v>2</x:v>
      </x:c>
      <x:c r="E35" s="2" t="str"/>
      <x:c r="F35" s="30"/>
      <x:c r="G35" s="2"/>
      <x:c r="H35" s="2"/>
      <x:c r="I35" s="2"/>
      <x:c r="J35" s="7" t="str">
        <x:v>세부 배분은 작성 가정입니다. 1~25 WD 작업과 26~30 WD 계획 여유를 각 동의 원자료 구간에 연결했습니다. 여유 기간은 해체 승인일을 뜻하지 않습니다.</x:v>
      </x:c>
    </x:row>
    <x:row r="36" ht="24" customHeight="1">
      <x:c r="A36" s="2" t="n">
        <x:v>2</x:v>
      </x:c>
      <x:c r="B36" s="2" t="str">
        <x:v>벽체·기둥 철근배근</x:v>
      </x:c>
      <x:c r="C36" s="19" t="n">
        <x:v>3</x:v>
      </x:c>
      <x:c r="D36" s="19" t="n">
        <x:v>7</x:v>
      </x:c>
      <x:c r="E36" s="2" t="str">
        <x:v>철근</x:v>
      </x:c>
      <x:c r="F36" s="30" t="n">
        <x:f>$B$27</x:f>
        <x:v>0.4</x:v>
      </x:c>
      <x:c r="G36" s="2"/>
      <x:c r="H36" s="2"/>
      <x:c r="I36" s="2"/>
      <x:c r="J36" s="2"/>
    </x:row>
    <x:row r="37" ht="24" customHeight="1">
      <x:c r="A37" s="2" t="n">
        <x:v>3</x:v>
      </x:c>
      <x:c r="B37" s="2" t="str">
        <x:v>수직부 거푸집 설치</x:v>
      </x:c>
      <x:c r="C37" s="19" t="n">
        <x:v>8</x:v>
      </x:c>
      <x:c r="D37" s="19" t="n">
        <x:v>14</x:v>
      </x:c>
      <x:c r="E37" s="2" t="str">
        <x:v>거푸집</x:v>
      </x:c>
      <x:c r="F37" s="30" t="n">
        <x:f>$B$28</x:f>
        <x:v>0.45</x:v>
      </x:c>
      <x:c r="G37" s="2"/>
      <x:c r="H37" s="2"/>
      <x:c r="I37" s="2"/>
      <x:c r="J37" s="2"/>
    </x:row>
    <x:row r="38" ht="24" customHeight="1">
      <x:c r="A38" s="2" t="n">
        <x:v>4</x:v>
      </x:c>
      <x:c r="B38" s="2" t="str">
        <x:v>시스템동바리 조립</x:v>
      </x:c>
      <x:c r="C38" s="19" t="n">
        <x:v>15</x:v>
      </x:c>
      <x:c r="D38" s="19" t="n">
        <x:v>17</x:v>
      </x:c>
      <x:c r="E38" s="2" t="str">
        <x:v>시스템동바리</x:v>
      </x:c>
      <x:c r="F38" s="30" t="n">
        <x:v>1</x:v>
      </x:c>
      <x:c r="G38" s="2"/>
      <x:c r="H38" s="2"/>
      <x:c r="I38" s="2"/>
      <x:c r="J38" s="2"/>
    </x:row>
    <x:row r="39" ht="24" customHeight="1">
      <x:c r="A39" s="2" t="n">
        <x:v>5</x:v>
      </x:c>
      <x:c r="B39" s="2" t="str">
        <x:v>보·슬래브 거푸집</x:v>
      </x:c>
      <x:c r="C39" s="19" t="n">
        <x:v>18</x:v>
      </x:c>
      <x:c r="D39" s="19" t="n">
        <x:v>21</x:v>
      </x:c>
      <x:c r="E39" s="2" t="str">
        <x:v>거푸집</x:v>
      </x:c>
      <x:c r="F39" s="30" t="n">
        <x:f>1-$B$28</x:f>
        <x:v>0.55</x:v>
      </x:c>
      <x:c r="G39" s="2"/>
      <x:c r="H39" s="2"/>
      <x:c r="I39" s="2"/>
      <x:c r="J39" s="2"/>
    </x:row>
    <x:row r="40" ht="24" customHeight="1">
      <x:c r="A40" s="2" t="n">
        <x:v>6</x:v>
      </x:c>
      <x:c r="B40" s="2" t="str">
        <x:v>보·슬래브 철근배근</x:v>
      </x:c>
      <x:c r="C40" s="19" t="n">
        <x:v>22</x:v>
      </x:c>
      <x:c r="D40" s="19" t="n">
        <x:v>24</x:v>
      </x:c>
      <x:c r="E40" s="2" t="str">
        <x:v>철근</x:v>
      </x:c>
      <x:c r="F40" s="30" t="n">
        <x:f>1-$B$27</x:f>
        <x:v>0.6</x:v>
      </x:c>
      <x:c r="G40" s="2"/>
      <x:c r="H40" s="2"/>
      <x:c r="I40" s="2"/>
      <x:c r="J40" s="2"/>
    </x:row>
    <x:row r="41" ht="24" customHeight="1">
      <x:c r="A41" s="2" t="n">
        <x:v>7</x:v>
      </x:c>
      <x:c r="B41" s="2" t="str">
        <x:v>검측·콘크리트 타설</x:v>
      </x:c>
      <x:c r="C41" s="19" t="n">
        <x:v>25</x:v>
      </x:c>
      <x:c r="D41" s="19" t="n">
        <x:v>25</x:v>
      </x:c>
      <x:c r="E41" s="2" t="str"/>
      <x:c r="F41" s="30"/>
      <x:c r="G41" s="2"/>
      <x:c r="H41" s="2"/>
      <x:c r="I41" s="2"/>
      <x:c r="J41" s="2"/>
    </x:row>
    <x:row r="42" ht="24" customHeight="1">
      <x:c r="A42" s="2" t="n">
        <x:v>8</x:v>
      </x:c>
      <x:c r="B42" s="2" t="str">
        <x:v>계획 여유</x:v>
      </x:c>
      <x:c r="C42" s="19" t="n">
        <x:v>26</x:v>
      </x:c>
      <x:c r="D42" s="19" t="n">
        <x:v>30</x:v>
      </x:c>
      <x:c r="E42" s="2" t="str"/>
      <x:c r="F42" s="30"/>
      <x:c r="G42" s="2"/>
      <x:c r="H42" s="2"/>
      <x:c r="I42" s="2"/>
      <x:c r="J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4" customHeight="1">
      <x:c r="A46" s="16" t="str">
        <x:v>동</x:v>
      </x:c>
      <x:c r="B46" s="17" t="str">
        <x:v>1층 면적 (㎡)</x:v>
      </x:c>
      <x:c r="C46" s="17" t="str">
        <x:v>철근 환산 (kg)</x:v>
      </x:c>
      <x:c r="D46" s="17" t="str">
        <x:v>철근 수요 (묶음)</x:v>
      </x:c>
      <x:c r="E46" s="17" t="str">
        <x:v>거푸집 면적 (㎡)</x:v>
      </x:c>
      <x:c r="F46" s="17" t="str">
        <x:v>거푸집 수요 (장)</x:v>
      </x:c>
      <x:c r="G46" s="17" t="str">
        <x:v>동바리 수요 (개)</x:v>
      </x:c>
      <x:c r="H46" s="18" t="str">
        <x:v>산출 구분</x:v>
      </x:c>
      <x:c r="I46" s="2"/>
      <x:c r="J46" s="2"/>
    </x:row>
    <x:row r="47" ht="24" customHeight="1">
      <x:c r="A47" s="2" t="str">
        <x:v>113동</x:v>
      </x:c>
      <x:c r="B47" s="31" t="str">
        <x:f>IF(ISNUMBER(D7),D7,"")</x:f>
      </x:c>
      <x:c r="C47" s="31" t="str">
        <x:f>IF(ISNUMBER(E7),E7*$B$19,IF(ISNUMBER(D7),D7/$B$16*$B$17,""))</x:f>
      </x:c>
      <x:c r="D47" s="32" t="str">
        <x:f>IF(ISNUMBER(E7),E7,IF(ISNUMBER(C47),ROUNDUP(C47/$B$19,0),""))</x:f>
      </x:c>
      <x:c r="E47" s="32" t="str">
        <x:f>IF(ISNUMBER(F7),F7*$B$20*$B$21/1000000,IF(ISNUMBER(D7),D7/$B$16*$B$18,""))</x:f>
      </x:c>
      <x:c r="F47" s="32" t="str">
        <x:f>IF(ISNUMBER(F7),F7,IF(ISNUMBER(E47),ROUNDUP(E47/($B$20*$B$21/1000000),0),""))</x:f>
      </x:c>
      <x:c r="G47" s="32" t="str">
        <x:f>IF(ISNUMBER(G7),G7,IF(ISNUMBER(D7),ROUNDUP(D7*$B$22,0),""))</x:f>
      </x:c>
      <x:c r="H47" s="2" t="str">
        <x:f>IF(COUNT(D7:G7)=0,"물량 입력 대기",IF(COUNT(E7:G7)=3,"직접 수요",IF(ISNUMBER(D7),"원단위 추정 포함","일부 직접 수요")))</x:f>
        <x:v>물량 입력 대기</x:v>
      </x:c>
      <x:c r="I47" s="2"/>
      <x:c r="J47" s="2"/>
    </x:row>
    <x:row r="48" ht="24" customHeight="1">
      <x:c r="A48" s="2" t="str">
        <x:v>112동</x:v>
      </x:c>
      <x:c r="B48" s="31" t="str">
        <x:f>IF(ISNUMBER(D8),D8,"")</x:f>
      </x:c>
      <x:c r="C48" s="31" t="str">
        <x:f>IF(ISNUMBER(E8),E8*$B$19,IF(ISNUMBER(D8),D8/$B$16*$B$17,""))</x:f>
      </x:c>
      <x:c r="D48" s="32" t="str">
        <x:f>IF(ISNUMBER(E8),E8,IF(ISNUMBER(C48),ROUNDUP(C48/$B$19,0),""))</x:f>
      </x:c>
      <x:c r="E48" s="32" t="str">
        <x:f>IF(ISNUMBER(F8),F8*$B$20*$B$21/1000000,IF(ISNUMBER(D8),D8/$B$16*$B$18,""))</x:f>
      </x:c>
      <x:c r="F48" s="32" t="str">
        <x:f>IF(ISNUMBER(F8),F8,IF(ISNUMBER(E48),ROUNDUP(E48/($B$20*$B$21/1000000),0),""))</x:f>
      </x:c>
      <x:c r="G48" s="32" t="str">
        <x:f>IF(ISNUMBER(G8),G8,IF(ISNUMBER(D8),ROUNDUP(D8*$B$22,0),""))</x:f>
      </x:c>
      <x:c r="H48" s="2" t="str">
        <x:f>IF(COUNT(D8:G8)=0,"물량 입력 대기",IF(COUNT(E8:G8)=3,"직접 수요",IF(ISNUMBER(D8),"원단위 추정 포함","일부 직접 수요")))</x:f>
        <x:v>물량 입력 대기</x:v>
      </x:c>
      <x:c r="I48" s="2"/>
      <x:c r="J48" s="2"/>
    </x:row>
    <x:row r="49" ht="24" customHeight="1">
      <x:c r="A49" s="2" t="str">
        <x:v>104동</x:v>
      </x:c>
      <x:c r="B49" s="31" t="str">
        <x:f>IF(ISNUMBER(D9),D9,"")</x:f>
      </x:c>
      <x:c r="C49" s="31" t="str">
        <x:f>IF(ISNUMBER(E9),E9*$B$19,IF(ISNUMBER(D9),D9/$B$16*$B$17,""))</x:f>
      </x:c>
      <x:c r="D49" s="32" t="str">
        <x:f>IF(ISNUMBER(E9),E9,IF(ISNUMBER(C49),ROUNDUP(C49/$B$19,0),""))</x:f>
      </x:c>
      <x:c r="E49" s="32" t="str">
        <x:f>IF(ISNUMBER(F9),F9*$B$20*$B$21/1000000,IF(ISNUMBER(D9),D9/$B$16*$B$18,""))</x:f>
      </x:c>
      <x:c r="F49" s="32" t="str">
        <x:f>IF(ISNUMBER(F9),F9,IF(ISNUMBER(E49),ROUNDUP(E49/($B$20*$B$21/1000000),0),""))</x:f>
      </x:c>
      <x:c r="G49" s="32" t="str">
        <x:f>IF(ISNUMBER(G9),G9,IF(ISNUMBER(D9),ROUNDUP(D9*$B$22,0),""))</x:f>
      </x:c>
      <x:c r="H49" s="2" t="str">
        <x:f>IF(COUNT(D9:G9)=0,"물량 입력 대기",IF(COUNT(E9:G9)=3,"직접 수요",IF(ISNUMBER(D9),"원단위 추정 포함","일부 직접 수요")))</x:f>
        <x:v>물량 입력 대기</x:v>
      </x:c>
      <x:c r="I49" s="2"/>
      <x:c r="J49" s="2"/>
    </x:row>
    <x:row r="50" ht="24" customHeight="1">
      <x:c r="A50" s="2" t="str">
        <x:v>105동</x:v>
      </x:c>
      <x:c r="B50" s="31" t="str">
        <x:f>IF(ISNUMBER(D10),D10,"")</x:f>
      </x:c>
      <x:c r="C50" s="31" t="str">
        <x:f>IF(ISNUMBER(E10),E10*$B$19,IF(ISNUMBER(D10),D10/$B$16*$B$17,""))</x:f>
      </x:c>
      <x:c r="D50" s="32" t="str">
        <x:f>IF(ISNUMBER(E10),E10,IF(ISNUMBER(C50),ROUNDUP(C50/$B$19,0),""))</x:f>
      </x:c>
      <x:c r="E50" s="32" t="str">
        <x:f>IF(ISNUMBER(F10),F10*$B$20*$B$21/1000000,IF(ISNUMBER(D10),D10/$B$16*$B$18,""))</x:f>
      </x:c>
      <x:c r="F50" s="32" t="str">
        <x:f>IF(ISNUMBER(F10),F10,IF(ISNUMBER(E50),ROUNDUP(E50/($B$20*$B$21/1000000),0),""))</x:f>
      </x:c>
      <x:c r="G50" s="32" t="str">
        <x:f>IF(ISNUMBER(G10),G10,IF(ISNUMBER(D10),ROUNDUP(D10*$B$22,0),""))</x:f>
      </x:c>
      <x:c r="H50" s="2" t="str">
        <x:f>IF(COUNT(D10:G10)=0,"물량 입력 대기",IF(COUNT(E10:G10)=3,"직접 수요",IF(ISNUMBER(D10),"원단위 추정 포함","일부 직접 수요")))</x:f>
        <x:v>물량 입력 대기</x:v>
      </x:c>
      <x:c r="I50" s="2"/>
      <x:c r="J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34" customHeight="1">
      <x:c r="A55" s="16" t="str">
        <x:v>자재</x:v>
      </x:c>
      <x:c r="B55" s="17" t="str">
        <x:v>웹 입력 재고</x:v>
      </x:c>
      <x:c r="C55" s="17" t="str">
        <x:v>계획 차감 재고</x:v>
      </x:c>
      <x:c r="D55" s="17" t="str">
        <x:v>단위</x:v>
      </x:c>
      <x:c r="E55" s="18" t="str">
        <x:v>처리</x:v>
      </x:c>
      <x:c r="F55" s="2"/>
      <x:c r="G55" s="2"/>
      <x:c r="H55" s="2"/>
      <x:c r="I55" s="2"/>
      <x:c r="J55" s="2"/>
    </x:row>
    <x:row r="56" ht="60" customHeight="1">
      <x:c r="A56" s="2" t="str">
        <x:v>철근</x:v>
      </x:c>
      <x:c r="B56" s="2" t="n">
        <x:v>40</x:v>
      </x:c>
      <x:c r="C56" s="19" t="n">
        <x:v>40</x:v>
      </x:c>
      <x:c r="D56" s="2" t="str">
        <x:v>묶음</x:v>
      </x:c>
      <x:c r="E56" s="2" t="str">
        <x:v>규격별 배분 별도</x:v>
      </x:c>
      <x:c r="F56" s="2"/>
      <x:c r="G56" s="2"/>
      <x:c r="H56" s="2"/>
      <x:c r="I56" s="2"/>
      <x:c r="J56" s="7" t="str">
        <x:v>현재 웹페이지에 저장된 관측 재고 수량을 가져왔습니다. 동바리 800개는 규격이 확인되지 않아 계획 차감 재고를 0으로 두었습니다.</x:v>
      </x:c>
    </x:row>
    <x:row r="57" ht="24" customHeight="1">
      <x:c r="A57" s="2" t="str">
        <x:v>거푸집</x:v>
      </x:c>
      <x:c r="B57" s="2" t="n">
        <x:v>2500</x:v>
      </x:c>
      <x:c r="C57" s="19" t="n">
        <x:v>2500</x:v>
      </x:c>
      <x:c r="D57" s="2" t="str">
        <x:v>장</x:v>
      </x:c>
      <x:c r="E57" s="2" t="str">
        <x:v>500 × 1200 기준</x:v>
      </x:c>
      <x:c r="F57" s="2"/>
      <x:c r="G57" s="2"/>
      <x:c r="H57" s="2"/>
      <x:c r="I57" s="2"/>
      <x:c r="J57" s="2"/>
    </x:row>
    <x:row r="58" ht="24" customHeight="1">
      <x:c r="A58" s="2" t="str">
        <x:v>시스템동바리</x:v>
      </x:c>
      <x:c r="B58" s="2" t="n">
        <x:v>800</x:v>
      </x:c>
      <x:c r="C58" s="19" t="n">
        <x:v>0</x:v>
      </x:c>
      <x:c r="D58" s="2" t="str">
        <x:v>개</x:v>
      </x:c>
      <x:c r="E58" s="2" t="str">
        <x:v>규격 미확인 재고 차감 제외</x:v>
      </x:c>
      <x:c r="F58" s="2"/>
      <x:c r="G58" s="2"/>
      <x:c r="H58" s="2"/>
      <x:c r="I58" s="2"/>
      <x:c r="J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 t="str">
        <x:v>현장 자료: 사용자가 제공한 골조 공정표·층별 기간표 및 현재 웹 입력값</x:v>
      </x:c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 t="str">
        <x:v>https://soaoyoung.github.io/</x:v>
      </x:c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</x:sheetData>
  <x:dataValidations count="1">
    <x:dataValidation type="decimal" operator="between" sqref="D7:G10">
      <x:formula1>0</x:formula1>
      <x:formula2>10000000</x:formula2>
    </x:dataValidation>
  </x:dataValidations>
  <x:pageMargins left="0.7" right="0.7" top="0.75" bottom="0.75" header="0.3" footer="0.3"/>
</x:worksheet>
</file>